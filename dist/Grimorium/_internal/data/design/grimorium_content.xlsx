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36cd9b930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48f144cbcb0e4707"/>
    <x:sheet xmlns:r="http://schemas.openxmlformats.org/officeDocument/2006/relationships" name="Effects" sheetId="2" r:id="Rf27cbc238d944320"/>
    <x:sheet xmlns:r="http://schemas.openxmlformats.org/officeDocument/2006/relationships" name="Requirements" sheetId="3" r:id="Raa86a01dcd434f4c"/>
    <x:sheet xmlns:r="http://schemas.openxmlformats.org/officeDocument/2006/relationships" name="Texts" sheetId="4" r:id="Rcb6afb7209d54c81"/>
    <x:sheet xmlns:r="http://schemas.openxmlformats.org/officeDocument/2006/relationships" name="Detail Lines" sheetId="5" r:id="Ra35b4197f62f4a51"/>
    <x:sheet xmlns:r="http://schemas.openxmlformats.org/officeDocument/2006/relationships" name="Assets" sheetId="6" r:id="Re474eb4f53b94e33"/>
    <x:sheet xmlns:r="http://schemas.openxmlformats.org/officeDocument/2006/relationships" name="Balance" sheetId="7" r:id="R6e05d6b559e24a02"/>
    <x:sheet xmlns:r="http://schemas.openxmlformats.org/officeDocument/2006/relationships" name="Dashboard" sheetId="8" r:id="R0ede66ceb61b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###"/>
    <x:numFmt numFmtId="203" formatCode="#,##0"/>
  </x:numFmts>
  <x:fonts count="6">
    <x:font>
      <x:sz val="11"/>
      <x:name val="Carlito"/>
    </x:font>
    <x:font>
      <x:sz val="10"/>
      <x:color rgb="FF203040"/>
      <x:name val="Aptos"/>
    </x:font>
    <x:font>
      <x:b/>
      <x:sz val="10"/>
      <x:color rgb="FFFFFFFF"/>
      <x:name val="Aptos"/>
    </x:font>
    <x:font>
      <x:b/>
      <x:sz val="20"/>
      <x:color rgb="FFFFFFFF"/>
      <x:name val="Aptos Display"/>
    </x:font>
    <x:font>
      <x:b/>
      <x:sz val="11"/>
      <x:color rgb="FFFFFFFF"/>
      <x:name val="Carlito"/>
    </x:font>
    <x:font>
      <x:sz val="11"/>
      <x:color rgb="FF20304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D9A441"/>
      </x:patternFill>
    </x:fill>
    <x:fill>
      <x:patternFill patternType="solid">
        <x:fgColor rgb="FFFFF8E7"/>
      </x:patternFill>
    </x:fill>
  </x:fills>
  <x:borders count="7">
    <x:border/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4">
    <x:dxf>
      <x:font>
        <x:i/>
        <x:color rgb="FF777777"/>
      </x:font>
      <x:fill>
        <x:patternFill patternType="solid">
          <x:bgColor rgb="FFE7E6E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i/>
        <x:color rgb="FF666666"/>
      </x:font>
      <x:fill>
        <x:patternFill patternType="solid">
          <x:bgColor rgb="FFE7E6E6"/>
        </x:patternFill>
      </x:fill>
    </x:dxf>
    <x:dxf>
      <x:font>
        <x:color rgb="FF777777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9248269be4775" /><Relationship Type="http://schemas.openxmlformats.org/officeDocument/2006/relationships/theme" Target="/xl/theme/theme1.xml" Id="R4a1ec652f1304867" /><Relationship Type="http://schemas.microsoft.com/office/2022/11/relationships/FeaturePropertyBag" Target="/xl/featurePropertyBag/featurePropertyBag.xml" Id="Rad279f822fb04d53" /><Relationship Type="http://schemas.openxmlformats.org/officeDocument/2006/relationships/sharedStrings" Target="/xl/sharedStrings.xml" Id="R93497eaba76b400d" /><Relationship Type="http://schemas.openxmlformats.org/officeDocument/2006/relationships/worksheet" Target="/xl/worksheets/sheet1.xml" Id="R48f144cbcb0e4707" /><Relationship Type="http://schemas.openxmlformats.org/officeDocument/2006/relationships/worksheet" Target="/xl/worksheets/sheet2.xml" Id="Rf27cbc238d944320" /><Relationship Type="http://schemas.openxmlformats.org/officeDocument/2006/relationships/worksheet" Target="/xl/worksheets/sheet3.xml" Id="Raa86a01dcd434f4c" /><Relationship Type="http://schemas.openxmlformats.org/officeDocument/2006/relationships/worksheet" Target="/xl/worksheets/sheet4.xml" Id="Rcb6afb7209d54c81" /><Relationship Type="http://schemas.openxmlformats.org/officeDocument/2006/relationships/worksheet" Target="/xl/worksheets/sheet5.xml" Id="Ra35b4197f62f4a51" /><Relationship Type="http://schemas.openxmlformats.org/officeDocument/2006/relationships/worksheet" Target="/xl/worksheets/sheet6.xml" Id="Re474eb4f53b94e33" /><Relationship Type="http://schemas.openxmlformats.org/officeDocument/2006/relationships/worksheet" Target="/xl/worksheets/sheet7.xml" Id="R6e05d6b559e24a02" /><Relationship Type="http://schemas.openxmlformats.org/officeDocument/2006/relationships/worksheet" Target="/xl/worksheets/sheet8.xml" Id="R0ede66ceb61b4c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74189897454d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Active content by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Active count</c:v>
          </c:tx>
          <c:cat>
            <c:strRef>
              <c:f>'Dashboard'!$D$5:$D$7</c:f>
              <c:strCache>
                <c:ptCount val="0"/>
              </c:strCache>
            </c:strRef>
          </c:cat>
          <c:val>
            <c:numRef>
              <c:f>'Dashboard'!$E$5:$E$7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74189897454db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299c344f5a31407a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18" hidden="0" customWidth="1"/>
    <x:col min="4" max="4" width="20" hidden="0" customWidth="1"/>
    <x:col min="5" max="5" width="12" hidden="0" customWidth="1"/>
    <x:col min="6" max="6" width="10" hidden="0" customWidth="1"/>
    <x:col min="7" max="7" width="10" hidden="0" customWidth="1"/>
    <x:col min="8" max="8" width="38" hidden="0" customWidth="1"/>
    <x:col min="9" max="9" width="34" hidden="0" customWidth="1"/>
    <x:col min="10" max="10" width="18" hidden="0" customWidth="1"/>
    <x:col min="11" max="11" width="10" hidden="0" customWidth="1"/>
    <x:col min="12" max="12" width="42" hidden="0" customWidth="1"/>
  </x:cols>
  <x:sheetData>
    <x:row r="1" ht="24" customHeight="1">
      <x:c r="A1" s="8" t="str">
        <x:v>type</x:v>
      </x:c>
      <x:c r="B1" s="8" t="str">
        <x:v>id</x:v>
      </x:c>
      <x:c r="C1" s="8" t="str">
        <x:v>category</x:v>
      </x:c>
      <x:c r="D1" s="8" t="str">
        <x:v>target_id</x:v>
      </x:c>
      <x:c r="E1" s="8" t="str">
        <x:v>mode</x:v>
      </x:c>
      <x:c r="F1" s="8" t="str">
        <x:v>chance</x:v>
      </x:c>
      <x:c r="G1" s="8" t="str">
        <x:v>price</x:v>
      </x:c>
      <x:c r="H1" s="8" t="str">
        <x:v>asset</x:v>
      </x:c>
      <x:c r="I1" s="8" t="str">
        <x:v>text_key</x:v>
      </x:c>
      <x:c r="J1" s="8" t="str">
        <x:v>tooltip_style</x:v>
      </x:c>
      <x:c r="K1" s="8" t="str">
        <x:v>enabled</x:v>
      </x:c>
      <x:c r="L1" s="8" t="str">
        <x:v>notes</x:v>
      </x:c>
    </x:row>
    <x:row r="2">
      <x:c r="A2" s="9" t="str">
        <x:v>potion</x:v>
      </x:c>
      <x:c r="B2" s="9" t="str">
        <x:v>health</x:v>
      </x:c>
      <x:c r="C2" s="9" t="str">
        <x:v>consumable</x:v>
      </x:c>
      <x:c r="D2" s="9" t="str"/>
      <x:c r="E2" s="9" t="str"/>
      <x:c r="F2" s="11" t="str"/>
      <x:c r="G2" s="12" t="n">
        <x:v>5</x:v>
      </x:c>
      <x:c r="H2" s="9" t="str">
        <x:v>images/potions/potion_health.bmp</x:v>
      </x:c>
      <x:c r="I2" s="9" t="str">
        <x:v>item.potion.health</x:v>
      </x:c>
      <x:c r="J2" s="9" t="str">
        <x:v>default</x:v>
      </x:c>
      <x:c r="K2" s="10" t="b">
        <x:v>1</x:v>
      </x:c>
      <x:c r="L2" s="9" t="str"/>
    </x:row>
    <x:row r="3">
      <x:c r="A3" s="9" t="str">
        <x:v>potion</x:v>
      </x:c>
      <x:c r="B3" s="9" t="str">
        <x:v>speed</x:v>
      </x:c>
      <x:c r="C3" s="9" t="str">
        <x:v>consumable</x:v>
      </x:c>
      <x:c r="D3" s="9" t="str"/>
      <x:c r="E3" s="9" t="str"/>
      <x:c r="F3" s="11" t="str"/>
      <x:c r="G3" s="12" t="n">
        <x:v>5</x:v>
      </x:c>
      <x:c r="H3" s="9" t="str">
        <x:v>images/potions/potion_speed.bmp</x:v>
      </x:c>
      <x:c r="I3" s="9" t="str">
        <x:v>item.potion.speed</x:v>
      </x:c>
      <x:c r="J3" s="9" t="str">
        <x:v>default</x:v>
      </x:c>
      <x:c r="K3" s="10" t="b">
        <x:v>1</x:v>
      </x:c>
      <x:c r="L3" s="9" t="str"/>
    </x:row>
    <x:row r="4">
      <x:c r="A4" s="9" t="str">
        <x:v>potion</x:v>
      </x:c>
      <x:c r="B4" s="9" t="str">
        <x:v>damage</x:v>
      </x:c>
      <x:c r="C4" s="9" t="str">
        <x:v>consumable</x:v>
      </x:c>
      <x:c r="D4" s="9" t="str"/>
      <x:c r="E4" s="9" t="str"/>
      <x:c r="F4" s="11" t="str"/>
      <x:c r="G4" s="12" t="n">
        <x:v>5</x:v>
      </x:c>
      <x:c r="H4" s="9" t="str">
        <x:v>images/potions/potion_damage.bmp</x:v>
      </x:c>
      <x:c r="I4" s="9" t="str">
        <x:v>item.potion.damage</x:v>
      </x:c>
      <x:c r="J4" s="9" t="str">
        <x:v>default</x:v>
      </x:c>
      <x:c r="K4" s="10" t="b">
        <x:v>1</x:v>
      </x:c>
      <x:c r="L4" s="9" t="str"/>
    </x:row>
    <x:row r="5">
      <x:c r="A5" s="9" t="str">
        <x:v>potion</x:v>
      </x:c>
      <x:c r="B5" s="9" t="str">
        <x:v>body_damage</x:v>
      </x:c>
      <x:c r="C5" s="9" t="str">
        <x:v>consumable</x:v>
      </x:c>
      <x:c r="D5" s="9" t="str"/>
      <x:c r="E5" s="9" t="str"/>
      <x:c r="F5" s="11" t="str"/>
      <x:c r="G5" s="12" t="n">
        <x:v>5</x:v>
      </x:c>
      <x:c r="H5" s="9" t="str">
        <x:v>images/potions/potion_body_damage.bmp</x:v>
      </x:c>
      <x:c r="I5" s="9" t="str">
        <x:v>item.potion.body_damage</x:v>
      </x:c>
      <x:c r="J5" s="9" t="str">
        <x:v>default</x:v>
      </x:c>
      <x:c r="K5" s="10" t="b">
        <x:v>1</x:v>
      </x:c>
      <x:c r="L5" s="9" t="str"/>
    </x:row>
    <x:row r="6">
      <x:c r="A6" s="9" t="str">
        <x:v>potion</x:v>
      </x:c>
      <x:c r="B6" s="9" t="str">
        <x:v>speed_atack</x:v>
      </x:c>
      <x:c r="C6" s="9" t="str">
        <x:v>consumable</x:v>
      </x:c>
      <x:c r="D6" s="9" t="str"/>
      <x:c r="E6" s="9" t="str"/>
      <x:c r="F6" s="11" t="str"/>
      <x:c r="G6" s="12" t="n">
        <x:v>5</x:v>
      </x:c>
      <x:c r="H6" s="9" t="str">
        <x:v>images/potions/potion_speed_atack.bmp</x:v>
      </x:c>
      <x:c r="I6" s="9" t="str">
        <x:v>item.potion.speed_atack</x:v>
      </x:c>
      <x:c r="J6" s="9" t="str">
        <x:v>default</x:v>
      </x:c>
      <x:c r="K6" s="10" t="b">
        <x:v>1</x:v>
      </x:c>
      <x:c r="L6" s="9" t="str">
        <x:v>ID historico conservado tal cual</x:v>
      </x:c>
    </x:row>
    <x:row r="7">
      <x:c r="A7" s="9" t="str">
        <x:v>potion</x:v>
      </x:c>
      <x:c r="B7" s="9" t="str">
        <x:v>luck</x:v>
      </x:c>
      <x:c r="C7" s="9" t="str">
        <x:v>consumable</x:v>
      </x:c>
      <x:c r="D7" s="9" t="str"/>
      <x:c r="E7" s="9" t="str"/>
      <x:c r="F7" s="11" t="str"/>
      <x:c r="G7" s="12" t="n">
        <x:v>5</x:v>
      </x:c>
      <x:c r="H7" s="9" t="str">
        <x:v>images/potions/_potion_luck.bmp</x:v>
      </x:c>
      <x:c r="I7" s="9" t="str">
        <x:v>item.potion.luck</x:v>
      </x:c>
      <x:c r="J7" s="9" t="str">
        <x:v>default</x:v>
      </x:c>
      <x:c r="K7" s="10" t="b">
        <x:v>0</x:v>
      </x:c>
      <x:c r="L7" s="9" t="str">
        <x:v>Borrador: asset prefijado con _; no aparecia en la tienda</x:v>
      </x:c>
    </x:row>
    <x:row r="8">
      <x:c r="A8" s="9" t="str">
        <x:v>potion</x:v>
      </x:c>
      <x:c r="B8" s="9" t="str">
        <x:v>shoot_distance</x:v>
      </x:c>
      <x:c r="C8" s="9" t="str">
        <x:v>consumable</x:v>
      </x:c>
      <x:c r="D8" s="9" t="str"/>
      <x:c r="E8" s="9" t="str"/>
      <x:c r="F8" s="11" t="str"/>
      <x:c r="G8" s="12" t="n">
        <x:v>5</x:v>
      </x:c>
      <x:c r="H8" s="9" t="str">
        <x:v>images/potions/potion_shoot_distance.bmp</x:v>
      </x:c>
      <x:c r="I8" s="9" t="str">
        <x:v>item.potion.shoot_distance</x:v>
      </x:c>
      <x:c r="J8" s="9" t="str">
        <x:v>default</x:v>
      </x:c>
      <x:c r="K8" s="10" t="b">
        <x:v>1</x:v>
      </x:c>
      <x:c r="L8" s="9" t="str"/>
    </x:row>
    <x:row r="9">
      <x:c r="A9" s="9" t="str">
        <x:v>power</x:v>
      </x:c>
      <x:c r="B9" s="9" t="str">
        <x:v>fire</x:v>
      </x:c>
      <x:c r="C9" s="9" t="str">
        <x:v>element</x:v>
      </x:c>
      <x:c r="D9" s="9" t="str">
        <x:v>fire</x:v>
      </x:c>
      <x:c r="E9" s="9" t="str">
        <x:v>base</x:v>
      </x:c>
      <x:c r="F9" s="11" t="n">
        <x:v>1</x:v>
      </x:c>
      <x:c r="G9" s="12" t="n">
        <x:v>10</x:v>
      </x:c>
      <x:c r="H9" s="9" t="str">
        <x:v>images/powers/power_fire.bmp</x:v>
      </x:c>
      <x:c r="I9" s="9" t="str">
        <x:v>item.power.fire</x:v>
      </x:c>
      <x:c r="J9" s="9" t="str"/>
      <x:c r="K9" s="10" t="b">
        <x:v>1</x:v>
      </x:c>
      <x:c r="L9" s="9" t="str"/>
    </x:row>
    <x:row r="10">
      <x:c r="A10" s="9" t="str">
        <x:v>power</x:v>
      </x:c>
      <x:c r="B10" s="9" t="str">
        <x:v>ice</x:v>
      </x:c>
      <x:c r="C10" s="9" t="str">
        <x:v>element</x:v>
      </x:c>
      <x:c r="D10" s="9" t="str">
        <x:v>ice</x:v>
      </x:c>
      <x:c r="E10" s="9" t="str">
        <x:v>extra</x:v>
      </x:c>
      <x:c r="F10" s="11" t="n">
        <x:v>0.5</x:v>
      </x:c>
      <x:c r="G10" s="12" t="n">
        <x:v>10</x:v>
      </x:c>
      <x:c r="H10" s="9" t="str">
        <x:v>images/powers/power_ice.bmp</x:v>
      </x:c>
      <x:c r="I10" s="9" t="str">
        <x:v>item.power.ice</x:v>
      </x:c>
      <x:c r="J10" s="9" t="str"/>
      <x:c r="K10" s="10" t="b">
        <x:v>1</x:v>
      </x:c>
      <x:c r="L10" s="9" t="str"/>
    </x:row>
    <x:row r="11">
      <x:c r="A11" s="9" t="str">
        <x:v>power</x:v>
      </x:c>
      <x:c r="B11" s="9" t="str">
        <x:v>electric</x:v>
      </x:c>
      <x:c r="C11" s="9" t="str">
        <x:v>element</x:v>
      </x:c>
      <x:c r="D11" s="9" t="str">
        <x:v>electric</x:v>
      </x:c>
      <x:c r="E11" s="9" t="str">
        <x:v>extra</x:v>
      </x:c>
      <x:c r="F11" s="11" t="n">
        <x:v>0.5</x:v>
      </x:c>
      <x:c r="G11" s="12" t="n">
        <x:v>10</x:v>
      </x:c>
      <x:c r="H11" s="9" t="str">
        <x:v>images/powers/power_electric.bmp</x:v>
      </x:c>
      <x:c r="I11" s="9" t="str">
        <x:v>item.power.electric</x:v>
      </x:c>
      <x:c r="J11" s="9" t="str"/>
      <x:c r="K11" s="10" t="b">
        <x:v>1</x:v>
      </x:c>
      <x:c r="L11" s="9" t="str"/>
    </x:row>
    <x:row r="12">
      <x:c r="A12" s="9" t="str">
        <x:v>power</x:v>
      </x:c>
      <x:c r="B12" s="9" t="str">
        <x:v>poison</x:v>
      </x:c>
      <x:c r="C12" s="9" t="str">
        <x:v>element</x:v>
      </x:c>
      <x:c r="D12" s="9" t="str">
        <x:v>poison</x:v>
      </x:c>
      <x:c r="E12" s="9" t="str">
        <x:v>extra</x:v>
      </x:c>
      <x:c r="F12" s="11" t="n">
        <x:v>0.25</x:v>
      </x:c>
      <x:c r="G12" s="12" t="n">
        <x:v>10</x:v>
      </x:c>
      <x:c r="H12" s="9" t="str">
        <x:v>images/powers/power_poison.bmp</x:v>
      </x:c>
      <x:c r="I12" s="9" t="str">
        <x:v>item.power.poison</x:v>
      </x:c>
      <x:c r="J12" s="9" t="str"/>
      <x:c r="K12" s="10" t="b">
        <x:v>1</x:v>
      </x:c>
      <x:c r="L12" s="9" t="str"/>
    </x:row>
    <x:row r="13">
      <x:c r="A13" s="9" t="str">
        <x:v>power</x:v>
      </x:c>
      <x:c r="B13" s="9" t="str">
        <x:v>triple_shot</x:v>
      </x:c>
      <x:c r="C13" s="9" t="str">
        <x:v>shot_modifier</x:v>
      </x:c>
      <x:c r="D13" s="9" t="str"/>
      <x:c r="E13" s="9" t="str"/>
      <x:c r="F13" s="11" t="str"/>
      <x:c r="G13" s="12" t="n">
        <x:v>10</x:v>
      </x:c>
      <x:c r="H13" s="9" t="str">
        <x:v>images/powers/power_triple_shot.bmp</x:v>
      </x:c>
      <x:c r="I13" s="9" t="str">
        <x:v>item.power.triple_shot</x:v>
      </x:c>
      <x:c r="J13" s="9" t="str">
        <x:v>default</x:v>
      </x:c>
      <x:c r="K13" s="10" t="b">
        <x:v>1</x:v>
      </x:c>
      <x:c r="L13" s="9" t="str"/>
    </x:row>
    <x:row r="14">
      <x:c r="A14" s="9" t="str">
        <x:v>power</x:v>
      </x:c>
      <x:c r="B14" s="9" t="str">
        <x:v>double_shot</x:v>
      </x:c>
      <x:c r="C14" s="9" t="str">
        <x:v>shot_modifier</x:v>
      </x:c>
      <x:c r="D14" s="9" t="str"/>
      <x:c r="E14" s="9" t="str"/>
      <x:c r="F14" s="11" t="str"/>
      <x:c r="G14" s="12" t="n">
        <x:v>10</x:v>
      </x:c>
      <x:c r="H14" s="9" t="str">
        <x:v>images/powers/power_double_shot.bmp</x:v>
      </x:c>
      <x:c r="I14" s="9" t="str">
        <x:v>item.power.double_shot</x:v>
      </x:c>
      <x:c r="J14" s="9" t="str">
        <x:v>default</x:v>
      </x:c>
      <x:c r="K14" s="10" t="b">
        <x:v>1</x:v>
      </x:c>
      <x:c r="L14" s="9" t="str"/>
    </x:row>
    <x:row r="15">
      <x:c r="A15" s="9" t="str">
        <x:v>power</x:v>
      </x:c>
      <x:c r="B15" s="9" t="str">
        <x:v>big_bullets</x:v>
      </x:c>
      <x:c r="C15" s="9" t="str">
        <x:v>shot_modifier</x:v>
      </x:c>
      <x:c r="D15" s="9" t="str"/>
      <x:c r="E15" s="9" t="str"/>
      <x:c r="F15" s="11" t="str"/>
      <x:c r="G15" s="12" t="n">
        <x:v>10</x:v>
      </x:c>
      <x:c r="H15" s="9" t="str">
        <x:v>images/powers/power_big_bullets.bmp</x:v>
      </x:c>
      <x:c r="I15" s="9" t="str">
        <x:v>item.power.big_bullets</x:v>
      </x:c>
      <x:c r="J15" s="9" t="str">
        <x:v>default</x:v>
      </x:c>
      <x:c r="K15" s="10" t="b">
        <x:v>1</x:v>
      </x:c>
      <x:c r="L15" s="9" t="str"/>
    </x:row>
    <x:row r="16">
      <x:c r="A16" s="9" t="str">
        <x:v>power</x:v>
      </x:c>
      <x:c r="B16" s="9" t="str">
        <x:v>rear_shot</x:v>
      </x:c>
      <x:c r="C16" s="9" t="str">
        <x:v>shot_modifier</x:v>
      </x:c>
      <x:c r="D16" s="9" t="str"/>
      <x:c r="E16" s="9" t="str"/>
      <x:c r="F16" s="11" t="str"/>
      <x:c r="G16" s="12" t="n">
        <x:v>10</x:v>
      </x:c>
      <x:c r="H16" s="9" t="str">
        <x:v>images/powers/power_rear_shot.bmp</x:v>
      </x:c>
      <x:c r="I16" s="9" t="str">
        <x:v>item.power.rear_shot</x:v>
      </x:c>
      <x:c r="J16" s="9" t="str">
        <x:v>default</x:v>
      </x:c>
      <x:c r="K16" s="10" t="b">
        <x:v>1</x:v>
      </x:c>
      <x:c r="L16" s="9" t="str"/>
    </x:row>
    <x:row r="17">
      <x:c r="A17" s="9" t="str">
        <x:v>book</x:v>
      </x:c>
      <x:c r="B17" s="9" t="str">
        <x:v>fire</x:v>
      </x:c>
      <x:c r="C17" s="9" t="str">
        <x:v>element</x:v>
      </x:c>
      <x:c r="D17" s="9" t="str">
        <x:v>fire</x:v>
      </x:c>
      <x:c r="E17" s="9" t="str"/>
      <x:c r="F17" s="11" t="str"/>
      <x:c r="G17" s="12" t="n">
        <x:v>5</x:v>
      </x:c>
      <x:c r="H17" s="9" t="str">
        <x:v>images/books/book_fire.bmp</x:v>
      </x:c>
      <x:c r="I17" s="9" t="str">
        <x:v>item.book.fire</x:v>
      </x:c>
      <x:c r="J17" s="9" t="str">
        <x:v>fire</x:v>
      </x:c>
      <x:c r="K17" s="10" t="b">
        <x:v>1</x:v>
      </x:c>
      <x:c r="L17" s="9" t="str"/>
    </x:row>
    <x:row r="18">
      <x:c r="A18" s="9" t="str">
        <x:v>book</x:v>
      </x:c>
      <x:c r="B18" s="9" t="str">
        <x:v>ice</x:v>
      </x:c>
      <x:c r="C18" s="9" t="str">
        <x:v>element</x:v>
      </x:c>
      <x:c r="D18" s="9" t="str">
        <x:v>ice</x:v>
      </x:c>
      <x:c r="E18" s="9" t="str"/>
      <x:c r="F18" s="11" t="str"/>
      <x:c r="G18" s="12" t="n">
        <x:v>5</x:v>
      </x:c>
      <x:c r="H18" s="9" t="str">
        <x:v>images/books/book_ice.bmp</x:v>
      </x:c>
      <x:c r="I18" s="9" t="str">
        <x:v>item.book.ice</x:v>
      </x:c>
      <x:c r="J18" s="9" t="str">
        <x:v>ice</x:v>
      </x:c>
      <x:c r="K18" s="10" t="b">
        <x:v>1</x:v>
      </x:c>
      <x:c r="L18" s="9" t="str"/>
    </x:row>
    <x:row r="19">
      <x:c r="A19" s="9" t="str">
        <x:v>book</x:v>
      </x:c>
      <x:c r="B19" s="9" t="str">
        <x:v>electric</x:v>
      </x:c>
      <x:c r="C19" s="9" t="str">
        <x:v>element</x:v>
      </x:c>
      <x:c r="D19" s="9" t="str">
        <x:v>electric</x:v>
      </x:c>
      <x:c r="E19" s="9" t="str"/>
      <x:c r="F19" s="11" t="str"/>
      <x:c r="G19" s="12" t="n">
        <x:v>5</x:v>
      </x:c>
      <x:c r="H19" s="9" t="str">
        <x:v>images/books/book_electric.bmp</x:v>
      </x:c>
      <x:c r="I19" s="9" t="str">
        <x:v>item.book.electric</x:v>
      </x:c>
      <x:c r="J19" s="9" t="str">
        <x:v>electric</x:v>
      </x:c>
      <x:c r="K19" s="10" t="b">
        <x:v>1</x:v>
      </x:c>
      <x:c r="L19" s="9" t="str"/>
    </x:row>
    <x:row r="20">
      <x:c r="A20" s="9" t="str">
        <x:v>book</x:v>
      </x:c>
      <x:c r="B20" s="9" t="str">
        <x:v>poison</x:v>
      </x:c>
      <x:c r="C20" s="9" t="str">
        <x:v>element</x:v>
      </x:c>
      <x:c r="D20" s="9" t="str">
        <x:v>poison</x:v>
      </x:c>
      <x:c r="E20" s="9" t="str"/>
      <x:c r="F20" s="11" t="str"/>
      <x:c r="G20" s="12" t="n">
        <x:v>5</x:v>
      </x:c>
      <x:c r="H20" s="9" t="str">
        <x:v>images/books/book_poison.bmp</x:v>
      </x:c>
      <x:c r="I20" s="9" t="str">
        <x:v>item.book.poison</x:v>
      </x:c>
      <x:c r="J20" s="9" t="str">
        <x:v>poison</x:v>
      </x:c>
      <x:c r="K20" s="10" t="b">
        <x:v>1</x:v>
      </x:c>
      <x:c r="L20" s="9" t="str"/>
    </x:row>
    <x:row r="21">
      <x:c r="A21" s="9" t="str">
        <x:v>book</x:v>
      </x:c>
      <x:c r="B21" s="9" t="str">
        <x:v>fire_ice</x:v>
      </x:c>
      <x:c r="C21" s="9" t="str">
        <x:v>combo</x:v>
      </x:c>
      <x:c r="D21" s="9" t="str">
        <x:v>fire_ice</x:v>
      </x:c>
      <x:c r="E21" s="9" t="str"/>
      <x:c r="F21" s="11" t="str"/>
      <x:c r="G21" s="12" t="n">
        <x:v>5</x:v>
      </x:c>
      <x:c r="H21" s="9" t="str">
        <x:v>images/books/book_fire_ice.bmp</x:v>
      </x:c>
      <x:c r="I21" s="9" t="str">
        <x:v>item.book.fire_ice</x:v>
      </x:c>
      <x:c r="J21" s="9" t="str">
        <x:v>fire_ice</x:v>
      </x:c>
      <x:c r="K21" s="10" t="b">
        <x:v>1</x:v>
      </x:c>
      <x:c r="L21" s="9" t="str"/>
    </x:row>
    <x:row r="22">
      <x:c r="A22" s="9" t="str">
        <x:v>book</x:v>
      </x:c>
      <x:c r="B22" s="9" t="str">
        <x:v>fire_electric</x:v>
      </x:c>
      <x:c r="C22" s="9" t="str">
        <x:v>combo</x:v>
      </x:c>
      <x:c r="D22" s="9" t="str">
        <x:v>fire_electric</x:v>
      </x:c>
      <x:c r="E22" s="9" t="str"/>
      <x:c r="F22" s="11" t="str"/>
      <x:c r="G22" s="12" t="n">
        <x:v>5</x:v>
      </x:c>
      <x:c r="H22" s="9" t="str">
        <x:v>images/books/book_fire_electric.bmp</x:v>
      </x:c>
      <x:c r="I22" s="9" t="str">
        <x:v>item.book.fire_electric</x:v>
      </x:c>
      <x:c r="J22" s="9" t="str">
        <x:v>fire_electric</x:v>
      </x:c>
      <x:c r="K22" s="10" t="b">
        <x:v>1</x:v>
      </x:c>
      <x:c r="L22" s="9" t="str"/>
    </x:row>
    <x:row r="23">
      <x:c r="A23" s="9" t="str">
        <x:v>book</x:v>
      </x:c>
      <x:c r="B23" s="9" t="str">
        <x:v>ice_electric</x:v>
      </x:c>
      <x:c r="C23" s="9" t="str">
        <x:v>combo</x:v>
      </x:c>
      <x:c r="D23" s="9" t="str">
        <x:v>ice_electric</x:v>
      </x:c>
      <x:c r="E23" s="9" t="str"/>
      <x:c r="F23" s="11" t="str"/>
      <x:c r="G23" s="12" t="n">
        <x:v>5</x:v>
      </x:c>
      <x:c r="H23" s="9" t="str">
        <x:v>images/books/book_ice_electric.bmp</x:v>
      </x:c>
      <x:c r="I23" s="9" t="str">
        <x:v>item.book.ice_electric</x:v>
      </x:c>
      <x:c r="J23" s="9" t="str">
        <x:v>ice_electric</x:v>
      </x:c>
      <x:c r="K23" s="10" t="b">
        <x:v>1</x:v>
      </x:c>
      <x:c r="L23" s="9" t="str"/>
    </x:row>
    <x:row r="24">
      <x:c r="A24" s="9" t="str">
        <x:v>book</x:v>
      </x:c>
      <x:c r="B24" s="9" t="str">
        <x:v>fire_poison</x:v>
      </x:c>
      <x:c r="C24" s="9" t="str">
        <x:v>combo</x:v>
      </x:c>
      <x:c r="D24" s="9" t="str">
        <x:v>fire_poison</x:v>
      </x:c>
      <x:c r="E24" s="9" t="str"/>
      <x:c r="F24" s="11" t="str"/>
      <x:c r="G24" s="12" t="n">
        <x:v>5</x:v>
      </x:c>
      <x:c r="H24" s="9" t="str">
        <x:v>images/books/book_fire_poison.bmp</x:v>
      </x:c>
      <x:c r="I24" s="9" t="str">
        <x:v>item.book.fire_poison</x:v>
      </x:c>
      <x:c r="J24" s="9" t="str">
        <x:v>fire_poison</x:v>
      </x:c>
      <x:c r="K24" s="10" t="b">
        <x:v>1</x:v>
      </x:c>
      <x:c r="L24" s="9" t="str"/>
    </x:row>
    <x:row r="25">
      <x:c r="A25" s="9" t="str">
        <x:v>book</x:v>
      </x:c>
      <x:c r="B25" s="9" t="str">
        <x:v>ice_poison</x:v>
      </x:c>
      <x:c r="C25" s="9" t="str">
        <x:v>combo</x:v>
      </x:c>
      <x:c r="D25" s="9" t="str">
        <x:v>ice_poison</x:v>
      </x:c>
      <x:c r="E25" s="9" t="str"/>
      <x:c r="F25" s="11" t="str"/>
      <x:c r="G25" s="12" t="n">
        <x:v>5</x:v>
      </x:c>
      <x:c r="H25" s="9" t="str">
        <x:v>images/books/book_ice_poison.bmp</x:v>
      </x:c>
      <x:c r="I25" s="9" t="str">
        <x:v>item.book.ice_poison</x:v>
      </x:c>
      <x:c r="J25" s="9" t="str">
        <x:v>ice_poison</x:v>
      </x:c>
      <x:c r="K25" s="10" t="b">
        <x:v>1</x:v>
      </x:c>
      <x:c r="L25" s="9" t="str"/>
    </x:row>
    <x:row r="26">
      <x:c r="A26" s="9" t="str">
        <x:v>book</x:v>
      </x:c>
      <x:c r="B26" s="9" t="str">
        <x:v>electric_poison</x:v>
      </x:c>
      <x:c r="C26" s="9" t="str">
        <x:v>combo</x:v>
      </x:c>
      <x:c r="D26" s="9" t="str">
        <x:v>electric_poison</x:v>
      </x:c>
      <x:c r="E26" s="9" t="str"/>
      <x:c r="F26" s="11" t="str"/>
      <x:c r="G26" s="12" t="n">
        <x:v>5</x:v>
      </x:c>
      <x:c r="H26" s="9" t="str">
        <x:v>images/books/_book_poison_electric.bmp</x:v>
      </x:c>
      <x:c r="I26" s="9" t="str">
        <x:v>item.book.electric_poison</x:v>
      </x:c>
      <x:c r="J26" s="9" t="str">
        <x:v>electric_poison</x:v>
      </x:c>
      <x:c r="K26" s="10" t="b">
        <x:v>0</x:v>
      </x:c>
      <x:c r="L26" s="9" t="str">
        <x:v>Borrador encontrado: traducciones y asset, pero sin efecto configurado</x:v>
      </x:c>
    </x:row>
  </x:sheetData>
  <x:conditionalFormatting sqref="K2:K26">
    <x:cfRule type="expression" dxfId="0" priority="1">
      <x:formula>K2=FALSE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8" hidden="0" customWidth="1"/>
    <x:col min="4" max="4" width="28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38" hidden="0" customWidth="1"/>
  </x:cols>
  <x:sheetData>
    <x:row r="1" ht="24" customHeight="1">
      <x:c r="A1" s="8" t="str">
        <x:v>owner_type</x:v>
      </x:c>
      <x:c r="B1" s="8" t="str">
        <x:v>owner_id</x:v>
      </x:c>
      <x:c r="C1" s="8" t="str">
        <x:v>target_scope</x:v>
      </x:c>
      <x:c r="D1" s="8" t="str">
        <x:v>target</x:v>
      </x:c>
      <x:c r="E1" s="8" t="str">
        <x:v>operation</x:v>
      </x:c>
      <x:c r="F1" s="8" t="str">
        <x:v>value</x:v>
      </x:c>
      <x:c r="G1" s="8" t="str">
        <x:v>value_type</x:v>
      </x:c>
      <x:c r="H1" s="8" t="str">
        <x:v>unit</x:v>
      </x:c>
      <x:c r="I1" s="8" t="str">
        <x:v>notes</x:v>
      </x:c>
    </x:row>
    <x:row r="2">
      <x:c r="A2" s="9" t="str">
        <x:v>potion</x:v>
      </x:c>
      <x:c r="B2" s="9" t="str">
        <x:v>health</x:v>
      </x:c>
      <x:c r="C2" s="9" t="str">
        <x:v>player_stat</x:v>
      </x:c>
      <x:c r="D2" s="9" t="str">
        <x:v>health</x:v>
      </x:c>
      <x:c r="E2" s="9" t="str">
        <x:v>add</x:v>
      </x:c>
      <x:c r="F2" s="13" t="n">
        <x:v>1000</x:v>
      </x:c>
      <x:c r="G2" s="9" t="str">
        <x:v>int</x:v>
      </x:c>
      <x:c r="H2" s="9" t="str">
        <x:v>HP</x:v>
      </x:c>
      <x:c r="I2" s="9" t="str">
        <x:v>La aplicacion limita al max_health</x:v>
      </x:c>
    </x:row>
    <x:row r="3">
      <x:c r="A3" s="9" t="str">
        <x:v>potion</x:v>
      </x:c>
      <x:c r="B3" s="9" t="str">
        <x:v>speed</x:v>
      </x:c>
      <x:c r="C3" s="9" t="str">
        <x:v>player_stat</x:v>
      </x:c>
      <x:c r="D3" s="9" t="str">
        <x:v>speed</x:v>
      </x:c>
      <x:c r="E3" s="9" t="str">
        <x:v>add</x:v>
      </x:c>
      <x:c r="F3" s="13" t="n">
        <x:v>25</x:v>
      </x:c>
      <x:c r="G3" s="9" t="str">
        <x:v>int</x:v>
      </x:c>
      <x:c r="H3" s="9" t="str">
        <x:v>px/s</x:v>
      </x:c>
      <x:c r="I3" s="9" t="str"/>
    </x:row>
    <x:row r="4">
      <x:c r="A4" s="9" t="str">
        <x:v>potion</x:v>
      </x:c>
      <x:c r="B4" s="9" t="str">
        <x:v>damage</x:v>
      </x:c>
      <x:c r="C4" s="9" t="str">
        <x:v>player_stat</x:v>
      </x:c>
      <x:c r="D4" s="9" t="str">
        <x:v>damage</x:v>
      </x:c>
      <x:c r="E4" s="9" t="str">
        <x:v>add</x:v>
      </x:c>
      <x:c r="F4" s="13" t="n">
        <x:v>0.5</x:v>
      </x:c>
      <x:c r="G4" s="9" t="str">
        <x:v>number</x:v>
      </x:c>
      <x:c r="H4" s="9" t="str">
        <x:v>damage</x:v>
      </x:c>
      <x:c r="I4" s="9" t="str"/>
    </x:row>
    <x:row r="5">
      <x:c r="A5" s="9" t="str">
        <x:v>potion</x:v>
      </x:c>
      <x:c r="B5" s="9" t="str">
        <x:v>body_damage</x:v>
      </x:c>
      <x:c r="C5" s="9" t="str">
        <x:v>player_stat</x:v>
      </x:c>
      <x:c r="D5" s="9" t="str">
        <x:v>body_damage</x:v>
      </x:c>
      <x:c r="E5" s="9" t="str">
        <x:v>add</x:v>
      </x:c>
      <x:c r="F5" s="13" t="n">
        <x:v>0.5</x:v>
      </x:c>
      <x:c r="G5" s="9" t="str">
        <x:v>number</x:v>
      </x:c>
      <x:c r="H5" s="9" t="str">
        <x:v>damage</x:v>
      </x:c>
      <x:c r="I5" s="9" t="str"/>
    </x:row>
    <x:row r="6">
      <x:c r="A6" s="9" t="str">
        <x:v>potion</x:v>
      </x:c>
      <x:c r="B6" s="9" t="str">
        <x:v>speed_atack</x:v>
      </x:c>
      <x:c r="C6" s="9" t="str">
        <x:v>player_stat</x:v>
      </x:c>
      <x:c r="D6" s="9" t="str">
        <x:v>fire_rate</x:v>
      </x:c>
      <x:c r="E6" s="9" t="str">
        <x:v>add</x:v>
      </x:c>
      <x:c r="F6" s="13" t="n">
        <x:v>-0.025</x:v>
      </x:c>
      <x:c r="G6" s="9" t="str">
        <x:v>number</x:v>
      </x:c>
      <x:c r="H6" s="9" t="str">
        <x:v>s</x:v>
      </x:c>
      <x:c r="I6" s="9" t="str"/>
    </x:row>
    <x:row r="7">
      <x:c r="A7" s="9" t="str">
        <x:v>potion</x:v>
      </x:c>
      <x:c r="B7" s="9" t="str">
        <x:v>luck</x:v>
      </x:c>
      <x:c r="C7" s="9" t="str">
        <x:v>player_stat</x:v>
      </x:c>
      <x:c r="D7" s="9" t="str">
        <x:v>luck</x:v>
      </x:c>
      <x:c r="E7" s="9" t="str">
        <x:v>add</x:v>
      </x:c>
      <x:c r="F7" s="13" t="n">
        <x:v>1</x:v>
      </x:c>
      <x:c r="G7" s="9" t="str">
        <x:v>int</x:v>
      </x:c>
      <x:c r="H7" s="9" t="str">
        <x:v>point</x:v>
      </x:c>
      <x:c r="I7" s="9" t="str"/>
    </x:row>
    <x:row r="8">
      <x:c r="A8" s="9" t="str">
        <x:v>potion</x:v>
      </x:c>
      <x:c r="B8" s="9" t="str">
        <x:v>shoot_distance</x:v>
      </x:c>
      <x:c r="C8" s="9" t="str">
        <x:v>player_stat</x:v>
      </x:c>
      <x:c r="D8" s="9" t="str">
        <x:v>shoot_distance</x:v>
      </x:c>
      <x:c r="E8" s="9" t="str">
        <x:v>add</x:v>
      </x:c>
      <x:c r="F8" s="13" t="n">
        <x:v>5</x:v>
      </x:c>
      <x:c r="G8" s="9" t="str">
        <x:v>int</x:v>
      </x:c>
      <x:c r="H8" s="9" t="str">
        <x:v>px</x:v>
      </x:c>
      <x:c r="I8" s="9" t="str"/>
    </x:row>
    <x:row r="9">
      <x:c r="A9" s="9" t="str">
        <x:v>power</x:v>
      </x:c>
      <x:c r="B9" s="9" t="str">
        <x:v>triple_shot</x:v>
      </x:c>
      <x:c r="C9" s="9" t="str">
        <x:v>shot_context</x:v>
      </x:c>
      <x:c r="D9" s="9" t="str">
        <x:v>fan_count</x:v>
      </x:c>
      <x:c r="E9" s="9" t="str">
        <x:v>set</x:v>
      </x:c>
      <x:c r="F9" s="13" t="n">
        <x:v>3</x:v>
      </x:c>
      <x:c r="G9" s="9" t="str">
        <x:v>int</x:v>
      </x:c>
      <x:c r="H9" s="9" t="str">
        <x:v>projectiles</x:v>
      </x:c>
      <x:c r="I9" s="9" t="str"/>
    </x:row>
    <x:row r="10">
      <x:c r="A10" s="9" t="str">
        <x:v>power</x:v>
      </x:c>
      <x:c r="B10" s="9" t="str">
        <x:v>triple_shot</x:v>
      </x:c>
      <x:c r="C10" s="9" t="str">
        <x:v>shot_context</x:v>
      </x:c>
      <x:c r="D10" s="9" t="str">
        <x:v>fan_angle</x:v>
      </x:c>
      <x:c r="E10" s="9" t="str">
        <x:v>set</x:v>
      </x:c>
      <x:c r="F10" s="13" t="n">
        <x:v>20</x:v>
      </x:c>
      <x:c r="G10" s="9" t="str">
        <x:v>number</x:v>
      </x:c>
      <x:c r="H10" s="9" t="str">
        <x:v>deg</x:v>
      </x:c>
      <x:c r="I10" s="9" t="str"/>
    </x:row>
    <x:row r="11">
      <x:c r="A11" s="9" t="str">
        <x:v>power</x:v>
      </x:c>
      <x:c r="B11" s="9" t="str">
        <x:v>double_shot</x:v>
      </x:c>
      <x:c r="C11" s="9" t="str">
        <x:v>shot_context</x:v>
      </x:c>
      <x:c r="D11" s="9" t="str">
        <x:v>parallel_count</x:v>
      </x:c>
      <x:c r="E11" s="9" t="str">
        <x:v>set</x:v>
      </x:c>
      <x:c r="F11" s="13" t="n">
        <x:v>2</x:v>
      </x:c>
      <x:c r="G11" s="9" t="str">
        <x:v>int</x:v>
      </x:c>
      <x:c r="H11" s="9" t="str">
        <x:v>projectiles</x:v>
      </x:c>
      <x:c r="I11" s="9" t="str"/>
    </x:row>
    <x:row r="12">
      <x:c r="A12" s="9" t="str">
        <x:v>power</x:v>
      </x:c>
      <x:c r="B12" s="9" t="str">
        <x:v>double_shot</x:v>
      </x:c>
      <x:c r="C12" s="9" t="str">
        <x:v>shot_context</x:v>
      </x:c>
      <x:c r="D12" s="9" t="str">
        <x:v>parallel_spacing</x:v>
      </x:c>
      <x:c r="E12" s="9" t="str">
        <x:v>set</x:v>
      </x:c>
      <x:c r="F12" s="13" t="n">
        <x:v>8</x:v>
      </x:c>
      <x:c r="G12" s="9" t="str">
        <x:v>number</x:v>
      </x:c>
      <x:c r="H12" s="9" t="str">
        <x:v>px</x:v>
      </x:c>
      <x:c r="I12" s="9" t="str"/>
    </x:row>
    <x:row r="13">
      <x:c r="A13" s="9" t="str">
        <x:v>power</x:v>
      </x:c>
      <x:c r="B13" s="9" t="str">
        <x:v>big_bullets</x:v>
      </x:c>
      <x:c r="C13" s="9" t="str">
        <x:v>shot_context</x:v>
      </x:c>
      <x:c r="D13" s="9" t="str">
        <x:v>radius_multiplier</x:v>
      </x:c>
      <x:c r="E13" s="9" t="str">
        <x:v>multiply</x:v>
      </x:c>
      <x:c r="F13" s="13" t="n">
        <x:v>1.5</x:v>
      </x:c>
      <x:c r="G13" s="9" t="str">
        <x:v>number</x:v>
      </x:c>
      <x:c r="H13" s="9" t="str">
        <x:v>x</x:v>
      </x:c>
      <x:c r="I13" s="9" t="str"/>
    </x:row>
    <x:row r="14">
      <x:c r="A14" s="9" t="str">
        <x:v>power</x:v>
      </x:c>
      <x:c r="B14" s="9" t="str">
        <x:v>rear_shot</x:v>
      </x:c>
      <x:c r="C14" s="9" t="str">
        <x:v>shot_context</x:v>
      </x:c>
      <x:c r="D14" s="9" t="str">
        <x:v>rear_shot</x:v>
      </x:c>
      <x:c r="E14" s="9" t="str">
        <x:v>set</x:v>
      </x:c>
      <x:c r="F14" s="14" t="b">
        <x:v>1</x:v>
      </x:c>
      <x:c r="G14" s="9" t="str">
        <x:v>bool</x:v>
      </x:c>
      <x:c r="H14" s="9" t="str">
        <x:v>bool</x:v>
      </x:c>
      <x:c r="I14" s="9" t="str"/>
    </x:row>
    <x:row r="15">
      <x:c r="A15" s="9" t="str">
        <x:v>book</x:v>
      </x:c>
      <x:c r="B15" s="9" t="str">
        <x:v>fire</x:v>
      </x:c>
      <x:c r="C15" s="9" t="str">
        <x:v>element</x:v>
      </x:c>
      <x:c r="D15" s="9" t="str">
        <x:v>level</x:v>
      </x:c>
      <x:c r="E15" s="9" t="str">
        <x:v>add</x:v>
      </x:c>
      <x:c r="F15" s="13" t="n">
        <x:v>1</x:v>
      </x:c>
      <x:c r="G15" s="9" t="str">
        <x:v>int</x:v>
      </x:c>
      <x:c r="H15" s="9" t="str">
        <x:v>level</x:v>
      </x:c>
      <x:c r="I15" s="9" t="str"/>
    </x:row>
    <x:row r="16">
      <x:c r="A16" s="9" t="str">
        <x:v>book</x:v>
      </x:c>
      <x:c r="B16" s="9" t="str">
        <x:v>fire</x:v>
      </x:c>
      <x:c r="C16" s="9" t="str">
        <x:v>element</x:v>
      </x:c>
      <x:c r="D16" s="9" t="str">
        <x:v>burn_damage</x:v>
      </x:c>
      <x:c r="E16" s="9" t="str">
        <x:v>add</x:v>
      </x:c>
      <x:c r="F16" s="13" t="n">
        <x:v>0.2</x:v>
      </x:c>
      <x:c r="G16" s="9" t="str">
        <x:v>number</x:v>
      </x:c>
      <x:c r="H16" s="9" t="str">
        <x:v>damage</x:v>
      </x:c>
      <x:c r="I16" s="9" t="str"/>
    </x:row>
    <x:row r="17">
      <x:c r="A17" s="9" t="str">
        <x:v>book</x:v>
      </x:c>
      <x:c r="B17" s="9" t="str">
        <x:v>fire</x:v>
      </x:c>
      <x:c r="C17" s="9" t="str">
        <x:v>element</x:v>
      </x:c>
      <x:c r="D17" s="9" t="str">
        <x:v>burn_duration</x:v>
      </x:c>
      <x:c r="E17" s="9" t="str">
        <x:v>add</x:v>
      </x:c>
      <x:c r="F17" s="13" t="n">
        <x:v>1</x:v>
      </x:c>
      <x:c r="G17" s="9" t="str">
        <x:v>int</x:v>
      </x:c>
      <x:c r="H17" s="9" t="str">
        <x:v>s</x:v>
      </x:c>
      <x:c r="I17" s="9" t="str"/>
    </x:row>
    <x:row r="18">
      <x:c r="A18" s="9" t="str">
        <x:v>book</x:v>
      </x:c>
      <x:c r="B18" s="9" t="str">
        <x:v>ice</x:v>
      </x:c>
      <x:c r="C18" s="9" t="str">
        <x:v>element</x:v>
      </x:c>
      <x:c r="D18" s="9" t="str">
        <x:v>level</x:v>
      </x:c>
      <x:c r="E18" s="9" t="str">
        <x:v>add</x:v>
      </x:c>
      <x:c r="F18" s="13" t="n">
        <x:v>1</x:v>
      </x:c>
      <x:c r="G18" s="9" t="str">
        <x:v>int</x:v>
      </x:c>
      <x:c r="H18" s="9" t="str">
        <x:v>level</x:v>
      </x:c>
      <x:c r="I18" s="9" t="str"/>
    </x:row>
    <x:row r="19">
      <x:c r="A19" s="9" t="str">
        <x:v>book</x:v>
      </x:c>
      <x:c r="B19" s="9" t="str">
        <x:v>ice</x:v>
      </x:c>
      <x:c r="C19" s="9" t="str">
        <x:v>element</x:v>
      </x:c>
      <x:c r="D19" s="9" t="str">
        <x:v>slow_duration</x:v>
      </x:c>
      <x:c r="E19" s="9" t="str">
        <x:v>add</x:v>
      </x:c>
      <x:c r="F19" s="13" t="n">
        <x:v>0.2</x:v>
      </x:c>
      <x:c r="G19" s="9" t="str">
        <x:v>number</x:v>
      </x:c>
      <x:c r="H19" s="9" t="str">
        <x:v>s</x:v>
      </x:c>
      <x:c r="I19" s="9" t="str"/>
    </x:row>
    <x:row r="20">
      <x:c r="A20" s="9" t="str">
        <x:v>book</x:v>
      </x:c>
      <x:c r="B20" s="9" t="str">
        <x:v>ice</x:v>
      </x:c>
      <x:c r="C20" s="9" t="str">
        <x:v>element</x:v>
      </x:c>
      <x:c r="D20" s="9" t="str">
        <x:v>slow_multiplier</x:v>
      </x:c>
      <x:c r="E20" s="9" t="str">
        <x:v>add</x:v>
      </x:c>
      <x:c r="F20" s="13" t="n">
        <x:v>-0.1</x:v>
      </x:c>
      <x:c r="G20" s="9" t="str">
        <x:v>number</x:v>
      </x:c>
      <x:c r="H20" s="9" t="str">
        <x:v>ratio</x:v>
      </x:c>
      <x:c r="I20" s="9" t="str"/>
    </x:row>
    <x:row r="21">
      <x:c r="A21" s="9" t="str">
        <x:v>book</x:v>
      </x:c>
      <x:c r="B21" s="9" t="str">
        <x:v>ice</x:v>
      </x:c>
      <x:c r="C21" s="9" t="str">
        <x:v>element</x:v>
      </x:c>
      <x:c r="D21" s="9" t="str">
        <x:v>ice_duration</x:v>
      </x:c>
      <x:c r="E21" s="9" t="str">
        <x:v>add</x:v>
      </x:c>
      <x:c r="F21" s="13" t="n">
        <x:v>0.2</x:v>
      </x:c>
      <x:c r="G21" s="9" t="str">
        <x:v>number</x:v>
      </x:c>
      <x:c r="H21" s="9" t="str">
        <x:v>s</x:v>
      </x:c>
      <x:c r="I21" s="9" t="str"/>
    </x:row>
    <x:row r="22">
      <x:c r="A22" s="9" t="str">
        <x:v>book</x:v>
      </x:c>
      <x:c r="B22" s="9" t="str">
        <x:v>electric</x:v>
      </x:c>
      <x:c r="C22" s="9" t="str">
        <x:v>element</x:v>
      </x:c>
      <x:c r="D22" s="9" t="str">
        <x:v>level</x:v>
      </x:c>
      <x:c r="E22" s="9" t="str">
        <x:v>add</x:v>
      </x:c>
      <x:c r="F22" s="13" t="n">
        <x:v>1</x:v>
      </x:c>
      <x:c r="G22" s="9" t="str">
        <x:v>int</x:v>
      </x:c>
      <x:c r="H22" s="9" t="str">
        <x:v>level</x:v>
      </x:c>
      <x:c r="I22" s="9" t="str"/>
    </x:row>
    <x:row r="23">
      <x:c r="A23" s="9" t="str">
        <x:v>book</x:v>
      </x:c>
      <x:c r="B23" s="9" t="str">
        <x:v>electric</x:v>
      </x:c>
      <x:c r="C23" s="9" t="str">
        <x:v>element</x:v>
      </x:c>
      <x:c r="D23" s="9" t="str">
        <x:v>damage_percentage</x:v>
      </x:c>
      <x:c r="E23" s="9" t="str">
        <x:v>add</x:v>
      </x:c>
      <x:c r="F23" s="13" t="n">
        <x:v>0.05</x:v>
      </x:c>
      <x:c r="G23" s="9" t="str">
        <x:v>number</x:v>
      </x:c>
      <x:c r="H23" s="9" t="str">
        <x:v>ratio</x:v>
      </x:c>
      <x:c r="I23" s="9" t="str"/>
    </x:row>
    <x:row r="24">
      <x:c r="A24" s="9" t="str">
        <x:v>book</x:v>
      </x:c>
      <x:c r="B24" s="9" t="str">
        <x:v>electric</x:v>
      </x:c>
      <x:c r="C24" s="9" t="str">
        <x:v>element</x:v>
      </x:c>
      <x:c r="D24" s="9" t="str">
        <x:v>max_jump_distance</x:v>
      </x:c>
      <x:c r="E24" s="9" t="str">
        <x:v>add</x:v>
      </x:c>
      <x:c r="F24" s="13" t="n">
        <x:v>10</x:v>
      </x:c>
      <x:c r="G24" s="9" t="str">
        <x:v>int</x:v>
      </x:c>
      <x:c r="H24" s="9" t="str">
        <x:v>px</x:v>
      </x:c>
      <x:c r="I24" s="9" t="str"/>
    </x:row>
    <x:row r="25">
      <x:c r="A25" s="9" t="str">
        <x:v>book</x:v>
      </x:c>
      <x:c r="B25" s="9" t="str">
        <x:v>poison</x:v>
      </x:c>
      <x:c r="C25" s="9" t="str">
        <x:v>element</x:v>
      </x:c>
      <x:c r="D25" s="9" t="str">
        <x:v>level</x:v>
      </x:c>
      <x:c r="E25" s="9" t="str">
        <x:v>add</x:v>
      </x:c>
      <x:c r="F25" s="13" t="n">
        <x:v>1</x:v>
      </x:c>
      <x:c r="G25" s="9" t="str">
        <x:v>int</x:v>
      </x:c>
      <x:c r="H25" s="9" t="str">
        <x:v>level</x:v>
      </x:c>
      <x:c r="I25" s="9" t="str"/>
    </x:row>
    <x:row r="26">
      <x:c r="A26" s="9" t="str">
        <x:v>book</x:v>
      </x:c>
      <x:c r="B26" s="9" t="str">
        <x:v>poison</x:v>
      </x:c>
      <x:c r="C26" s="9" t="str">
        <x:v>element</x:v>
      </x:c>
      <x:c r="D26" s="9" t="str">
        <x:v>damage_taken_per_stack</x:v>
      </x:c>
      <x:c r="E26" s="9" t="str">
        <x:v>add</x:v>
      </x:c>
      <x:c r="F26" s="13" t="n">
        <x:v>0.01</x:v>
      </x:c>
      <x:c r="G26" s="9" t="str">
        <x:v>number</x:v>
      </x:c>
      <x:c r="H26" s="9" t="str">
        <x:v>ratio</x:v>
      </x:c>
      <x:c r="I26" s="9" t="str"/>
    </x:row>
    <x:row r="27">
      <x:c r="A27" s="9" t="str">
        <x:v>book</x:v>
      </x:c>
      <x:c r="B27" s="9" t="str">
        <x:v>poison</x:v>
      </x:c>
      <x:c r="C27" s="9" t="str">
        <x:v>element</x:v>
      </x:c>
      <x:c r="D27" s="9" t="str">
        <x:v>boss_duration</x:v>
      </x:c>
      <x:c r="E27" s="9" t="str">
        <x:v>add</x:v>
      </x:c>
      <x:c r="F27" s="13" t="n">
        <x:v>0.5</x:v>
      </x:c>
      <x:c r="G27" s="9" t="str">
        <x:v>number</x:v>
      </x:c>
      <x:c r="H27" s="9" t="str">
        <x:v>s</x:v>
      </x:c>
      <x:c r="I27" s="9" t="str"/>
    </x:row>
    <x:row r="28">
      <x:c r="A28" s="9" t="str">
        <x:v>book</x:v>
      </x:c>
      <x:c r="B28" s="9" t="str">
        <x:v>fire_ice</x:v>
      </x:c>
      <x:c r="C28" s="9" t="str">
        <x:v>combo</x:v>
      </x:c>
      <x:c r="D28" s="9" t="str">
        <x:v>level</x:v>
      </x:c>
      <x:c r="E28" s="9" t="str">
        <x:v>add</x:v>
      </x:c>
      <x:c r="F28" s="13" t="n">
        <x:v>1</x:v>
      </x:c>
      <x:c r="G28" s="9" t="str">
        <x:v>int</x:v>
      </x:c>
      <x:c r="H28" s="9" t="str">
        <x:v>level</x:v>
      </x:c>
      <x:c r="I28" s="9" t="str"/>
    </x:row>
    <x:row r="29">
      <x:c r="A29" s="9" t="str">
        <x:v>book</x:v>
      </x:c>
      <x:c r="B29" s="9" t="str">
        <x:v>fire_ice</x:v>
      </x:c>
      <x:c r="C29" s="9" t="str">
        <x:v>combo</x:v>
      </x:c>
      <x:c r="D29" s="9" t="str">
        <x:v>damage_multiplier</x:v>
      </x:c>
      <x:c r="E29" s="9" t="str">
        <x:v>add</x:v>
      </x:c>
      <x:c r="F29" s="13" t="n">
        <x:v>1</x:v>
      </x:c>
      <x:c r="G29" s="9" t="str">
        <x:v>int</x:v>
      </x:c>
      <x:c r="H29" s="9" t="str">
        <x:v>ratio</x:v>
      </x:c>
      <x:c r="I29" s="9" t="str"/>
    </x:row>
    <x:row r="30">
      <x:c r="A30" s="9" t="str">
        <x:v>book</x:v>
      </x:c>
      <x:c r="B30" s="9" t="str">
        <x:v>fire_electric</x:v>
      </x:c>
      <x:c r="C30" s="9" t="str">
        <x:v>combo</x:v>
      </x:c>
      <x:c r="D30" s="9" t="str">
        <x:v>level</x:v>
      </x:c>
      <x:c r="E30" s="9" t="str">
        <x:v>add</x:v>
      </x:c>
      <x:c r="F30" s="13" t="n">
        <x:v>1</x:v>
      </x:c>
      <x:c r="G30" s="9" t="str">
        <x:v>int</x:v>
      </x:c>
      <x:c r="H30" s="9" t="str">
        <x:v>level</x:v>
      </x:c>
      <x:c r="I30" s="9" t="str"/>
    </x:row>
    <x:row r="31">
      <x:c r="A31" s="9" t="str">
        <x:v>book</x:v>
      </x:c>
      <x:c r="B31" s="9" t="str">
        <x:v>fire_electric</x:v>
      </x:c>
      <x:c r="C31" s="9" t="str">
        <x:v>combo</x:v>
      </x:c>
      <x:c r="D31" s="9" t="str">
        <x:v>damage_multiplier</x:v>
      </x:c>
      <x:c r="E31" s="9" t="str">
        <x:v>add</x:v>
      </x:c>
      <x:c r="F31" s="13" t="n">
        <x:v>0.05</x:v>
      </x:c>
      <x:c r="G31" s="9" t="str">
        <x:v>number</x:v>
      </x:c>
      <x:c r="H31" s="9" t="str">
        <x:v>ratio</x:v>
      </x:c>
      <x:c r="I31" s="9" t="str"/>
    </x:row>
    <x:row r="32">
      <x:c r="A32" s="9" t="str">
        <x:v>book</x:v>
      </x:c>
      <x:c r="B32" s="9" t="str">
        <x:v>fire_electric</x:v>
      </x:c>
      <x:c r="C32" s="9" t="str">
        <x:v>combo</x:v>
      </x:c>
      <x:c r="D32" s="9" t="str">
        <x:v>fragment_range</x:v>
      </x:c>
      <x:c r="E32" s="9" t="str">
        <x:v>add</x:v>
      </x:c>
      <x:c r="F32" s="13" t="n">
        <x:v>10</x:v>
      </x:c>
      <x:c r="G32" s="9" t="str">
        <x:v>int</x:v>
      </x:c>
      <x:c r="H32" s="9" t="str">
        <x:v>px</x:v>
      </x:c>
      <x:c r="I32" s="9" t="str"/>
    </x:row>
    <x:row r="33">
      <x:c r="A33" s="9" t="str">
        <x:v>book</x:v>
      </x:c>
      <x:c r="B33" s="9" t="str">
        <x:v>ice_electric</x:v>
      </x:c>
      <x:c r="C33" s="9" t="str">
        <x:v>combo</x:v>
      </x:c>
      <x:c r="D33" s="9" t="str">
        <x:v>level</x:v>
      </x:c>
      <x:c r="E33" s="9" t="str">
        <x:v>add</x:v>
      </x:c>
      <x:c r="F33" s="13" t="n">
        <x:v>1</x:v>
      </x:c>
      <x:c r="G33" s="9" t="str">
        <x:v>int</x:v>
      </x:c>
      <x:c r="H33" s="9" t="str">
        <x:v>level</x:v>
      </x:c>
      <x:c r="I33" s="9" t="str"/>
    </x:row>
    <x:row r="34">
      <x:c r="A34" s="9" t="str">
        <x:v>book</x:v>
      </x:c>
      <x:c r="B34" s="9" t="str">
        <x:v>ice_electric</x:v>
      </x:c>
      <x:c r="C34" s="9" t="str">
        <x:v>combo</x:v>
      </x:c>
      <x:c r="D34" s="9" t="str">
        <x:v>puddle_size_multiplier</x:v>
      </x:c>
      <x:c r="E34" s="9" t="str">
        <x:v>add</x:v>
      </x:c>
      <x:c r="F34" s="13" t="n">
        <x:v>0.15</x:v>
      </x:c>
      <x:c r="G34" s="9" t="str">
        <x:v>number</x:v>
      </x:c>
      <x:c r="H34" s="9" t="str">
        <x:v>x</x:v>
      </x:c>
      <x:c r="I34" s="9" t="str"/>
    </x:row>
    <x:row r="35">
      <x:c r="A35" s="9" t="str">
        <x:v>book</x:v>
      </x:c>
      <x:c r="B35" s="9" t="str">
        <x:v>ice_electric</x:v>
      </x:c>
      <x:c r="C35" s="9" t="str">
        <x:v>combo</x:v>
      </x:c>
      <x:c r="D35" s="9" t="str">
        <x:v>puddle_duration_bonus</x:v>
      </x:c>
      <x:c r="E35" s="9" t="str">
        <x:v>add</x:v>
      </x:c>
      <x:c r="F35" s="13" t="n">
        <x:v>0.5</x:v>
      </x:c>
      <x:c r="G35" s="9" t="str">
        <x:v>number</x:v>
      </x:c>
      <x:c r="H35" s="9" t="str">
        <x:v>s</x:v>
      </x:c>
      <x:c r="I35" s="9" t="str"/>
    </x:row>
    <x:row r="36">
      <x:c r="A36" s="9" t="str">
        <x:v>book</x:v>
      </x:c>
      <x:c r="B36" s="9" t="str">
        <x:v>ice_electric</x:v>
      </x:c>
      <x:c r="C36" s="9" t="str">
        <x:v>combo</x:v>
      </x:c>
      <x:c r="D36" s="9" t="str">
        <x:v>electric_duration</x:v>
      </x:c>
      <x:c r="E36" s="9" t="str">
        <x:v>add</x:v>
      </x:c>
      <x:c r="F36" s="13" t="n">
        <x:v>0.4</x:v>
      </x:c>
      <x:c r="G36" s="9" t="str">
        <x:v>number</x:v>
      </x:c>
      <x:c r="H36" s="9" t="str">
        <x:v>s</x:v>
      </x:c>
      <x:c r="I36" s="9" t="str"/>
    </x:row>
    <x:row r="37">
      <x:c r="A37" s="9" t="str">
        <x:v>book</x:v>
      </x:c>
      <x:c r="B37" s="9" t="str">
        <x:v>ice_electric</x:v>
      </x:c>
      <x:c r="C37" s="9" t="str">
        <x:v>combo</x:v>
      </x:c>
      <x:c r="D37" s="9" t="str">
        <x:v>tick_damage</x:v>
      </x:c>
      <x:c r="E37" s="9" t="str">
        <x:v>add</x:v>
      </x:c>
      <x:c r="F37" s="13" t="n">
        <x:v>0.25</x:v>
      </x:c>
      <x:c r="G37" s="9" t="str">
        <x:v>number</x:v>
      </x:c>
      <x:c r="H37" s="9" t="str">
        <x:v>damage</x:v>
      </x:c>
      <x:c r="I37" s="9" t="str"/>
    </x:row>
    <x:row r="38">
      <x:c r="A38" s="9" t="str">
        <x:v>book</x:v>
      </x:c>
      <x:c r="B38" s="9" t="str">
        <x:v>fire_poison</x:v>
      </x:c>
      <x:c r="C38" s="9" t="str">
        <x:v>combo</x:v>
      </x:c>
      <x:c r="D38" s="9" t="str">
        <x:v>level</x:v>
      </x:c>
      <x:c r="E38" s="9" t="str">
        <x:v>add</x:v>
      </x:c>
      <x:c r="F38" s="13" t="n">
        <x:v>1</x:v>
      </x:c>
      <x:c r="G38" s="9" t="str">
        <x:v>int</x:v>
      </x:c>
      <x:c r="H38" s="9" t="str">
        <x:v>level</x:v>
      </x:c>
      <x:c r="I38" s="9" t="str"/>
    </x:row>
    <x:row r="39">
      <x:c r="A39" s="9" t="str">
        <x:v>book</x:v>
      </x:c>
      <x:c r="B39" s="9" t="str">
        <x:v>fire_poison</x:v>
      </x:c>
      <x:c r="C39" s="9" t="str">
        <x:v>combo</x:v>
      </x:c>
      <x:c r="D39" s="9" t="str">
        <x:v>cloud_radius</x:v>
      </x:c>
      <x:c r="E39" s="9" t="str">
        <x:v>add</x:v>
      </x:c>
      <x:c r="F39" s="13" t="n">
        <x:v>5</x:v>
      </x:c>
      <x:c r="G39" s="9" t="str">
        <x:v>int</x:v>
      </x:c>
      <x:c r="H39" s="9" t="str">
        <x:v>px</x:v>
      </x:c>
      <x:c r="I39" s="9" t="str"/>
    </x:row>
    <x:row r="40">
      <x:c r="A40" s="9" t="str">
        <x:v>book</x:v>
      </x:c>
      <x:c r="B40" s="9" t="str">
        <x:v>fire_poison</x:v>
      </x:c>
      <x:c r="C40" s="9" t="str">
        <x:v>combo</x:v>
      </x:c>
      <x:c r="D40" s="9" t="str">
        <x:v>cloud_duration</x:v>
      </x:c>
      <x:c r="E40" s="9" t="str">
        <x:v>add</x:v>
      </x:c>
      <x:c r="F40" s="13" t="n">
        <x:v>0.5</x:v>
      </x:c>
      <x:c r="G40" s="9" t="str">
        <x:v>number</x:v>
      </x:c>
      <x:c r="H40" s="9" t="str">
        <x:v>s</x:v>
      </x:c>
      <x:c r="I40" s="9" t="str"/>
    </x:row>
    <x:row r="41">
      <x:c r="A41" s="9" t="str">
        <x:v>book</x:v>
      </x:c>
      <x:c r="B41" s="9" t="str">
        <x:v>ice_poison</x:v>
      </x:c>
      <x:c r="C41" s="9" t="str">
        <x:v>combo</x:v>
      </x:c>
      <x:c r="D41" s="9" t="str">
        <x:v>level</x:v>
      </x:c>
      <x:c r="E41" s="9" t="str">
        <x:v>add</x:v>
      </x:c>
      <x:c r="F41" s="13" t="n">
        <x:v>1</x:v>
      </x:c>
      <x:c r="G41" s="9" t="str">
        <x:v>int</x:v>
      </x:c>
      <x:c r="H41" s="9" t="str">
        <x:v>level</x:v>
      </x:c>
      <x:c r="I41" s="9" t="str"/>
    </x:row>
    <x:row r="42">
      <x:c r="A42" s="9" t="str">
        <x:v>book</x:v>
      </x:c>
      <x:c r="B42" s="9" t="str">
        <x:v>ice_poison</x:v>
      </x:c>
      <x:c r="C42" s="9" t="str">
        <x:v>combo</x:v>
      </x:c>
      <x:c r="D42" s="9" t="str">
        <x:v>execute_threshold_per_stack</x:v>
      </x:c>
      <x:c r="E42" s="9" t="str">
        <x:v>add</x:v>
      </x:c>
      <x:c r="F42" s="13" t="n">
        <x:v>0.02</x:v>
      </x:c>
      <x:c r="G42" s="9" t="str">
        <x:v>number</x:v>
      </x:c>
      <x:c r="H42" s="9" t="str">
        <x:v>ratio</x:v>
      </x:c>
      <x:c r="I42" s="9" t="str"/>
    </x:row>
    <x:row r="43">
      <x:c r="A43" s="9" t="str">
        <x:v>book</x:v>
      </x:c>
      <x:c r="B43" s="9" t="str">
        <x:v>ice_poison</x:v>
      </x:c>
      <x:c r="C43" s="9" t="str">
        <x:v>combo</x:v>
      </x:c>
      <x:c r="D43" s="9" t="str">
        <x:v>fragile_duration</x:v>
      </x:c>
      <x:c r="E43" s="9" t="str">
        <x:v>add</x:v>
      </x:c>
      <x:c r="F43" s="13" t="n">
        <x:v>0.5</x:v>
      </x:c>
      <x:c r="G43" s="9" t="str">
        <x:v>number</x:v>
      </x:c>
      <x:c r="H43" s="9" t="str">
        <x:v>s</x:v>
      </x:c>
      <x:c r="I43" s="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20" hidden="0" customWidth="1"/>
    <x:col min="5" max="5" width="36" hidden="0" customWidth="1"/>
  </x:cols>
  <x:sheetData>
    <x:row r="1" ht="24" customHeight="1">
      <x:c r="A1" s="8" t="str">
        <x:v>owner_type</x:v>
      </x:c>
      <x:c r="B1" s="8" t="str">
        <x:v>owner_id</x:v>
      </x:c>
      <x:c r="C1" s="8" t="str">
        <x:v>requirement_type</x:v>
      </x:c>
      <x:c r="D1" s="8" t="str">
        <x:v>requirement_id</x:v>
      </x:c>
      <x:c r="E1" s="8" t="str">
        <x:v>notes</x:v>
      </x:c>
    </x:row>
    <x:row r="2">
      <x:c r="A2" s="9" t="str">
        <x:v>book</x:v>
      </x:c>
      <x:c r="B2" s="9" t="str">
        <x:v>fire</x:v>
      </x:c>
      <x:c r="C2" s="9" t="str">
        <x:v>power_owned</x:v>
      </x:c>
      <x:c r="D2" s="9" t="str">
        <x:v>fire</x:v>
      </x:c>
      <x:c r="E2" s="9" t="str"/>
    </x:row>
    <x:row r="3">
      <x:c r="A3" s="9" t="str">
        <x:v>book</x:v>
      </x:c>
      <x:c r="B3" s="9" t="str">
        <x:v>ice</x:v>
      </x:c>
      <x:c r="C3" s="9" t="str">
        <x:v>power_owned</x:v>
      </x:c>
      <x:c r="D3" s="9" t="str">
        <x:v>ice</x:v>
      </x:c>
      <x:c r="E3" s="9" t="str"/>
    </x:row>
    <x:row r="4">
      <x:c r="A4" s="9" t="str">
        <x:v>book</x:v>
      </x:c>
      <x:c r="B4" s="9" t="str">
        <x:v>electric</x:v>
      </x:c>
      <x:c r="C4" s="9" t="str">
        <x:v>power_owned</x:v>
      </x:c>
      <x:c r="D4" s="9" t="str">
        <x:v>electric</x:v>
      </x:c>
      <x:c r="E4" s="9" t="str"/>
    </x:row>
    <x:row r="5">
      <x:c r="A5" s="9" t="str">
        <x:v>book</x:v>
      </x:c>
      <x:c r="B5" s="9" t="str">
        <x:v>poison</x:v>
      </x:c>
      <x:c r="C5" s="9" t="str">
        <x:v>power_owned</x:v>
      </x:c>
      <x:c r="D5" s="9" t="str">
        <x:v>poison</x:v>
      </x:c>
      <x:c r="E5" s="9" t="str"/>
    </x:row>
    <x:row r="6">
      <x:c r="A6" s="9" t="str">
        <x:v>book</x:v>
      </x:c>
      <x:c r="B6" s="9" t="str">
        <x:v>fire_ice</x:v>
      </x:c>
      <x:c r="C6" s="9" t="str">
        <x:v>power_owned</x:v>
      </x:c>
      <x:c r="D6" s="9" t="str">
        <x:v>fire</x:v>
      </x:c>
      <x:c r="E6" s="9" t="str"/>
    </x:row>
    <x:row r="7">
      <x:c r="A7" s="9" t="str">
        <x:v>book</x:v>
      </x:c>
      <x:c r="B7" s="9" t="str">
        <x:v>fire_ice</x:v>
      </x:c>
      <x:c r="C7" s="9" t="str">
        <x:v>power_owned</x:v>
      </x:c>
      <x:c r="D7" s="9" t="str">
        <x:v>ice</x:v>
      </x:c>
      <x:c r="E7" s="9" t="str"/>
    </x:row>
    <x:row r="8">
      <x:c r="A8" s="9" t="str">
        <x:v>book</x:v>
      </x:c>
      <x:c r="B8" s="9" t="str">
        <x:v>fire_electric</x:v>
      </x:c>
      <x:c r="C8" s="9" t="str">
        <x:v>power_owned</x:v>
      </x:c>
      <x:c r="D8" s="9" t="str">
        <x:v>fire</x:v>
      </x:c>
      <x:c r="E8" s="9" t="str"/>
    </x:row>
    <x:row r="9">
      <x:c r="A9" s="9" t="str">
        <x:v>book</x:v>
      </x:c>
      <x:c r="B9" s="9" t="str">
        <x:v>fire_electric</x:v>
      </x:c>
      <x:c r="C9" s="9" t="str">
        <x:v>power_owned</x:v>
      </x:c>
      <x:c r="D9" s="9" t="str">
        <x:v>electric</x:v>
      </x:c>
      <x:c r="E9" s="9" t="str"/>
    </x:row>
    <x:row r="10">
      <x:c r="A10" s="9" t="str">
        <x:v>book</x:v>
      </x:c>
      <x:c r="B10" s="9" t="str">
        <x:v>ice_electric</x:v>
      </x:c>
      <x:c r="C10" s="9" t="str">
        <x:v>power_owned</x:v>
      </x:c>
      <x:c r="D10" s="9" t="str">
        <x:v>ice</x:v>
      </x:c>
      <x:c r="E10" s="9" t="str"/>
    </x:row>
    <x:row r="11">
      <x:c r="A11" s="9" t="str">
        <x:v>book</x:v>
      </x:c>
      <x:c r="B11" s="9" t="str">
        <x:v>ice_electric</x:v>
      </x:c>
      <x:c r="C11" s="9" t="str">
        <x:v>power_owned</x:v>
      </x:c>
      <x:c r="D11" s="9" t="str">
        <x:v>electric</x:v>
      </x:c>
      <x:c r="E11" s="9" t="str"/>
    </x:row>
    <x:row r="12">
      <x:c r="A12" s="9" t="str">
        <x:v>book</x:v>
      </x:c>
      <x:c r="B12" s="9" t="str">
        <x:v>fire_poison</x:v>
      </x:c>
      <x:c r="C12" s="9" t="str">
        <x:v>power_owned</x:v>
      </x:c>
      <x:c r="D12" s="9" t="str">
        <x:v>fire</x:v>
      </x:c>
      <x:c r="E12" s="9" t="str"/>
    </x:row>
    <x:row r="13">
      <x:c r="A13" s="9" t="str">
        <x:v>book</x:v>
      </x:c>
      <x:c r="B13" s="9" t="str">
        <x:v>fire_poison</x:v>
      </x:c>
      <x:c r="C13" s="9" t="str">
        <x:v>power_owned</x:v>
      </x:c>
      <x:c r="D13" s="9" t="str">
        <x:v>poison</x:v>
      </x:c>
      <x:c r="E13" s="9" t="str"/>
    </x:row>
    <x:row r="14">
      <x:c r="A14" s="9" t="str">
        <x:v>book</x:v>
      </x:c>
      <x:c r="B14" s="9" t="str">
        <x:v>ice_poison</x:v>
      </x:c>
      <x:c r="C14" s="9" t="str">
        <x:v>power_owned</x:v>
      </x:c>
      <x:c r="D14" s="9" t="str">
        <x:v>ice</x:v>
      </x:c>
      <x:c r="E14" s="9" t="str"/>
    </x:row>
    <x:row r="15">
      <x:c r="A15" s="9" t="str">
        <x:v>book</x:v>
      </x:c>
      <x:c r="B15" s="9" t="str">
        <x:v>ice_poison</x:v>
      </x:c>
      <x:c r="C15" s="9" t="str">
        <x:v>power_owned</x:v>
      </x:c>
      <x:c r="D15" s="9" t="str">
        <x:v>poison</x:v>
      </x:c>
      <x:c r="E15" s="9" t="str"/>
    </x:row>
    <x:row r="16">
      <x:c r="A16" s="9" t="str">
        <x:v>book</x:v>
      </x:c>
      <x:c r="B16" s="9" t="str">
        <x:v>electric_poison</x:v>
      </x:c>
      <x:c r="C16" s="9" t="str">
        <x:v>power_owned</x:v>
      </x:c>
      <x:c r="D16" s="9" t="str">
        <x:v>electric</x:v>
      </x:c>
      <x:c r="E16" s="9" t="str"/>
    </x:row>
    <x:row r="17">
      <x:c r="A17" s="9" t="str">
        <x:v>book</x:v>
      </x:c>
      <x:c r="B17" s="9" t="str">
        <x:v>electric_poison</x:v>
      </x:c>
      <x:c r="C17" s="9" t="str">
        <x:v>power_owned</x:v>
      </x:c>
      <x:c r="D17" s="9" t="str">
        <x:v>poison</x:v>
      </x:c>
      <x:c r="E17" s="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56" hidden="0" customWidth="1"/>
    <x:col min="3" max="3" width="56" hidden="0" customWidth="1"/>
    <x:col min="4" max="4" width="28" hidden="0" customWidth="1"/>
  </x:cols>
  <x:sheetData>
    <x:row r="1" ht="24" customHeight="1">
      <x:c r="A1" s="8" t="str">
        <x:v>key</x:v>
      </x:c>
      <x:c r="B1" s="8" t="str">
        <x:v>es</x:v>
      </x:c>
      <x:c r="C1" s="8" t="str">
        <x:v>en</x:v>
      </x:c>
      <x:c r="D1" s="8" t="str">
        <x:v>notes</x:v>
      </x:c>
    </x:row>
    <x:row r="2">
      <x:c r="A2" s="9" t="str">
        <x:v>item.book.electric.name</x:v>
      </x:c>
      <x:c r="B2" s="9" t="str">
        <x:v>Libro eléctrico</x:v>
      </x:c>
      <x:c r="C2" s="9" t="str">
        <x:v>Electric Book</x:v>
      </x:c>
      <x:c r="D2" s="9" t="str"/>
    </x:row>
    <x:row r="3">
      <x:c r="A3" s="9" t="str">
        <x:v>item.book.electric.short</x:v>
      </x:c>
      <x:c r="B3" s="9" t="str">
        <x:v>Mejora los saltos eléctricos entre enemigos</x:v>
      </x:c>
      <x:c r="C3" s="9" t="str">
        <x:v>Improves electric jumps between enemies</x:v>
      </x:c>
      <x:c r="D3" s="9" t="str"/>
    </x:row>
    <x:row r="4">
      <x:c r="A4" s="9" t="str">
        <x:v>item.book.electric_poison.name</x:v>
      </x:c>
      <x:c r="B4" s="9" t="str">
        <x:v>Libro de toxina conductora</x:v>
      </x:c>
      <x:c r="C4" s="9" t="str">
        <x:v>Conductive Toxin Book</x:v>
      </x:c>
      <x:c r="D4" s="9" t="str"/>
    </x:row>
    <x:row r="5">
      <x:c r="A5" s="9" t="str">
        <x:v>item.book.electric_poison.short</x:v>
      </x:c>
      <x:c r="B5" s="9" t="str">
        <x:v>Mejora el combo de electricidad y veneno</x:v>
      </x:c>
      <x:c r="C5" s="9" t="str">
        <x:v>Improves the electricity and poison combo</x:v>
      </x:c>
      <x:c r="D5" s="9" t="str"/>
    </x:row>
    <x:row r="6">
      <x:c r="A6" s="9" t="str">
        <x:v>item.book.fire.name</x:v>
      </x:c>
      <x:c r="B6" s="9" t="str">
        <x:v>Libro de fuego</x:v>
      </x:c>
      <x:c r="C6" s="9" t="str">
        <x:v>Fire Book</x:v>
      </x:c>
      <x:c r="D6" s="9" t="str"/>
    </x:row>
    <x:row r="7">
      <x:c r="A7" s="9" t="str">
        <x:v>item.book.fire.short</x:v>
      </x:c>
      <x:c r="B7" s="9" t="str">
        <x:v>Aumenta el daño y la duración de la quemadura</x:v>
      </x:c>
      <x:c r="C7" s="9" t="str">
        <x:v>Increases burn damage and duration</x:v>
      </x:c>
      <x:c r="D7" s="9" t="str"/>
    </x:row>
    <x:row r="8">
      <x:c r="A8" s="9" t="str">
        <x:v>item.book.fire_electric.name</x:v>
      </x:c>
      <x:c r="B8" s="9" t="str">
        <x:v>Libro de chispas ígneas</x:v>
      </x:c>
      <x:c r="C8" s="9" t="str">
        <x:v>Ignited Sparks Book</x:v>
      </x:c>
      <x:c r="D8" s="9" t="str"/>
    </x:row>
    <x:row r="9">
      <x:c r="A9" s="9" t="str">
        <x:v>item.book.fire_electric.short</x:v>
      </x:c>
      <x:c r="B9" s="9" t="str">
        <x:v>Mejora los fragmentos creados por fuego y electricidad</x:v>
      </x:c>
      <x:c r="C9" s="9" t="str">
        <x:v>Improves fragments created by fire and electricity</x:v>
      </x:c>
      <x:c r="D9" s="9" t="str"/>
    </x:row>
    <x:row r="10">
      <x:c r="A10" s="9" t="str">
        <x:v>item.book.fire_ice.name</x:v>
      </x:c>
      <x:c r="B10" s="9" t="str">
        <x:v>Libro de choque térmico</x:v>
      </x:c>
      <x:c r="C10" s="9" t="str">
        <x:v>Thermal Shock Book</x:v>
      </x:c>
      <x:c r="D10" s="9" t="str"/>
    </x:row>
    <x:row r="11">
      <x:c r="A11" s="9" t="str">
        <x:v>item.book.fire_ice.short</x:v>
      </x:c>
      <x:c r="B11" s="9" t="str">
        <x:v>Aumenta el daño al romper el hielo</x:v>
      </x:c>
      <x:c r="C11" s="9" t="str">
        <x:v>Increases damage when breaking ice</x:v>
      </x:c>
      <x:c r="D11" s="9" t="str"/>
    </x:row>
    <x:row r="12">
      <x:c r="A12" s="9" t="str">
        <x:v>item.book.fire_poison.name</x:v>
      </x:c>
      <x:c r="B12" s="9" t="str">
        <x:v>Libro de nube corrosiva</x:v>
      </x:c>
      <x:c r="C12" s="9" t="str">
        <x:v>Corrosive Cloud Book</x:v>
      </x:c>
      <x:c r="D12" s="9" t="str"/>
    </x:row>
    <x:row r="13">
      <x:c r="A13" s="9" t="str">
        <x:v>item.book.fire_poison.short</x:v>
      </x:c>
      <x:c r="B13" s="9" t="str">
        <x:v>Mejora la nube creada por fuego y veneno</x:v>
      </x:c>
      <x:c r="C13" s="9" t="str">
        <x:v>Improves the cloud created by fire and poison</x:v>
      </x:c>
      <x:c r="D13" s="9" t="str"/>
    </x:row>
    <x:row r="14">
      <x:c r="A14" s="9" t="str">
        <x:v>item.book.ice.name</x:v>
      </x:c>
      <x:c r="B14" s="9" t="str">
        <x:v>Libro de hielo</x:v>
      </x:c>
      <x:c r="C14" s="9" t="str">
        <x:v>Ice Book</x:v>
      </x:c>
      <x:c r="D14" s="9" t="str"/>
    </x:row>
    <x:row r="15">
      <x:c r="A15" s="9" t="str">
        <x:v>item.book.ice.short</x:v>
      </x:c>
      <x:c r="B15" s="9" t="str">
        <x:v>Mejora la ralentización y la congelación</x:v>
      </x:c>
      <x:c r="C15" s="9" t="str">
        <x:v>Improves slowing and freezing</x:v>
      </x:c>
      <x:c r="D15" s="9" t="str"/>
    </x:row>
    <x:row r="16">
      <x:c r="A16" s="9" t="str">
        <x:v>item.book.ice_electric.name</x:v>
      </x:c>
      <x:c r="B16" s="9" t="str">
        <x:v>Libro de tormenta helada</x:v>
      </x:c>
      <x:c r="C16" s="9" t="str">
        <x:v>Frozen Storm Book</x:v>
      </x:c>
      <x:c r="D16" s="9" t="str"/>
    </x:row>
    <x:row r="17">
      <x:c r="A17" s="9" t="str">
        <x:v>item.book.ice_electric.short</x:v>
      </x:c>
      <x:c r="B17" s="9" t="str">
        <x:v>Mejora el charco electrificado</x:v>
      </x:c>
      <x:c r="C17" s="9" t="str">
        <x:v>Improves the electrified puddle</x:v>
      </x:c>
      <x:c r="D17" s="9" t="str"/>
    </x:row>
    <x:row r="18">
      <x:c r="A18" s="9" t="str">
        <x:v>item.book.ice_poison.name</x:v>
      </x:c>
      <x:c r="B18" s="9" t="str">
        <x:v>Libro de fragilidad tóxica</x:v>
      </x:c>
      <x:c r="C18" s="9" t="str">
        <x:v>Toxic Fragility Book</x:v>
      </x:c>
      <x:c r="D18" s="9" t="str"/>
    </x:row>
    <x:row r="19">
      <x:c r="A19" s="9" t="str">
        <x:v>item.book.ice_poison.short</x:v>
      </x:c>
      <x:c r="B19" s="9" t="str">
        <x:v>Mejora la ejecución contra enemigos frágiles</x:v>
      </x:c>
      <x:c r="C19" s="9" t="str">
        <x:v>Improves execution against fragile enemies</x:v>
      </x:c>
      <x:c r="D19" s="9" t="str"/>
    </x:row>
    <x:row r="20">
      <x:c r="A20" s="9" t="str">
        <x:v>item.book.poison.name</x:v>
      </x:c>
      <x:c r="B20" s="9" t="str">
        <x:v>Libro de veneno</x:v>
      </x:c>
      <x:c r="C20" s="9" t="str">
        <x:v>Poison Book</x:v>
      </x:c>
      <x:c r="D20" s="9" t="str"/>
    </x:row>
    <x:row r="21">
      <x:c r="A21" s="9" t="str">
        <x:v>item.book.poison.short</x:v>
      </x:c>
      <x:c r="B21" s="9" t="str">
        <x:v>Aumenta el daño acumulado del veneno</x:v>
      </x:c>
      <x:c r="C21" s="9" t="str">
        <x:v>Increases stacked poison damage</x:v>
      </x:c>
      <x:c r="D21" s="9" t="str"/>
    </x:row>
    <x:row r="22">
      <x:c r="A22" s="9" t="str">
        <x:v>item.level.electric.name</x:v>
      </x:c>
      <x:c r="B22" s="9" t="str">
        <x:v>Electricidad - Nivel {level}</x:v>
      </x:c>
      <x:c r="C22" s="9" t="str">
        <x:v>Electricity - Level {level}</x:v>
      </x:c>
      <x:c r="D22" s="9" t="str"/>
    </x:row>
    <x:row r="23">
      <x:c r="A23" s="9" t="str">
        <x:v>item.level.electric.short</x:v>
      </x:c>
      <x:c r="B23" s="9" t="str">
        <x:v>Encadena parte del daño a enemigos cercanos.</x:v>
      </x:c>
      <x:c r="C23" s="9" t="str">
        <x:v>Chains dmg between enemies</x:v>
      </x:c>
      <x:c r="D23" s="9" t="str"/>
    </x:row>
    <x:row r="24">
      <x:c r="A24" s="9" t="str">
        <x:v>item.level.fire.name</x:v>
      </x:c>
      <x:c r="B24" s="9" t="str">
        <x:v>Fuego - Nivel {level}</x:v>
      </x:c>
      <x:c r="C24" s="9" t="str">
        <x:v>Fire - Level {level}</x:v>
      </x:c>
      <x:c r="D24" s="9" t="str"/>
    </x:row>
    <x:row r="25">
      <x:c r="A25" s="9" t="str">
        <x:v>item.level.fire.short</x:v>
      </x:c>
      <x:c r="B25" s="9" t="str">
        <x:v>Quema a los enemigos alcanzados.</x:v>
      </x:c>
      <x:c r="C25" s="9" t="str">
        <x:v>Burns on hit</x:v>
      </x:c>
      <x:c r="D25" s="9" t="str"/>
    </x:row>
    <x:row r="26">
      <x:c r="A26" s="9" t="str">
        <x:v>item.level.fire_electric.name</x:v>
      </x:c>
      <x:c r="B26" s="9" t="str">
        <x:v>Chispas ígneas - Nivel {level}</x:v>
      </x:c>
      <x:c r="C26" s="9" t="str">
        <x:v>Blazing Sparks - Level {level}</x:v>
      </x:c>
      <x:c r="D26" s="9" t="str"/>
    </x:row>
    <x:row r="27">
      <x:c r="A27" s="9" t="str">
        <x:v>item.level.fire_electric.short</x:v>
      </x:c>
      <x:c r="B27" s="9" t="str">
        <x:v>Los proyectiles incrustados estallan en fragmentos.</x:v>
      </x:c>
      <x:c r="C27" s="9" t="str">
        <x:v>Embedded shots burst into fragments</x:v>
      </x:c>
      <x:c r="D27" s="9" t="str"/>
    </x:row>
    <x:row r="28">
      <x:c r="A28" s="9" t="str">
        <x:v>item.level.fire_ice.name</x:v>
      </x:c>
      <x:c r="B28" s="9" t="str">
        <x:v>Choque térmico - Nivel {level}</x:v>
      </x:c>
      <x:c r="C28" s="9" t="str">
        <x:v>Thermal Shock - Level {level}</x:v>
      </x:c>
      <x:c r="D28" s="9" t="str"/>
    </x:row>
    <x:row r="29">
      <x:c r="A29" s="9" t="str">
        <x:v>item.level.fire_ice.short</x:v>
      </x:c>
      <x:c r="B29" s="9" t="str">
        <x:v>Romper la congelación inflige daño adicional.</x:v>
      </x:c>
      <x:c r="C29" s="9" t="str">
        <x:v>Breaking a freeze deals additional damage</x:v>
      </x:c>
      <x:c r="D29" s="9" t="str"/>
    </x:row>
    <x:row r="30">
      <x:c r="A30" s="9" t="str">
        <x:v>item.level.fire_poison.name</x:v>
      </x:c>
      <x:c r="B30" s="9" t="str">
        <x:v>Nube corrosiva - Nivel {level}</x:v>
      </x:c>
      <x:c r="C30" s="9" t="str">
        <x:v>Corrosive Cloud - Level {level}</x:v>
      </x:c>
      <x:c r="D30" s="9" t="str"/>
    </x:row>
    <x:row r="31">
      <x:c r="A31" s="9" t="str">
        <x:v>item.level.fire_poison.short</x:v>
      </x:c>
      <x:c r="B31" s="9" t="str">
        <x:v>Los enemigos quemados liberan una nube venenosa.</x:v>
      </x:c>
      <x:c r="C31" s="9" t="str">
        <x:v>Burning enemies release poison clouds</x:v>
      </x:c>
      <x:c r="D31" s="9" t="str"/>
    </x:row>
    <x:row r="32">
      <x:c r="A32" s="9" t="str">
        <x:v>item.level.ice.name</x:v>
      </x:c>
      <x:c r="B32" s="9" t="str">
        <x:v>Hielo - Nivel {level}</x:v>
      </x:c>
      <x:c r="C32" s="9" t="str">
        <x:v>Ice - Level {level}</x:v>
      </x:c>
      <x:c r="D32" s="9" t="str"/>
    </x:row>
    <x:row r="33">
      <x:c r="A33" s="9" t="str">
        <x:v>item.level.ice.short</x:v>
      </x:c>
      <x:c r="B33" s="9" t="str">
        <x:v>Ralentiza y congela al acumular impactos.</x:v>
      </x:c>
      <x:c r="C33" s="9" t="str">
        <x:v>Slows and freezes on hit</x:v>
      </x:c>
      <x:c r="D33" s="9" t="str"/>
    </x:row>
    <x:row r="34">
      <x:c r="A34" s="9" t="str">
        <x:v>item.level.ice_electric.name</x:v>
      </x:c>
      <x:c r="B34" s="9" t="str">
        <x:v>Tormenta helada - Nivel {level}</x:v>
      </x:c>
      <x:c r="C34" s="9" t="str">
        <x:v>Frozen Storm - Level {level}</x:v>
      </x:c>
      <x:c r="D34" s="9" t="str"/>
    </x:row>
    <x:row r="35">
      <x:c r="A35" s="9" t="str">
        <x:v>item.level.ice_electric.short</x:v>
      </x:c>
      <x:c r="B35" s="9" t="str">
        <x:v>La congelación crea un charco electrificado.</x:v>
      </x:c>
      <x:c r="C35" s="9" t="str">
        <x:v>Freezing creates an electrified puddle</x:v>
      </x:c>
      <x:c r="D35" s="9" t="str"/>
    </x:row>
    <x:row r="36">
      <x:c r="A36" s="9" t="str">
        <x:v>item.level.ice_poison.name</x:v>
      </x:c>
      <x:c r="B36" s="9" t="str">
        <x:v>Fragilidad tóxica - Nivel {level}</x:v>
      </x:c>
      <x:c r="C36" s="9" t="str">
        <x:v>Toxic Fragility - Level {level}</x:v>
      </x:c>
      <x:c r="D36" s="9" t="str"/>
    </x:row>
    <x:row r="37">
      <x:c r="A37" s="9" t="str">
        <x:v>item.level.ice_poison.short</x:v>
      </x:c>
      <x:c r="B37" s="9" t="str">
        <x:v>El veneno puede ejecutar enemigos congelados.</x:v>
      </x:c>
      <x:c r="C37" s="9" t="str">
        <x:v>Poison can execute frozen enemies</x:v>
      </x:c>
      <x:c r="D37" s="9" t="str"/>
    </x:row>
    <x:row r="38">
      <x:c r="A38" s="9" t="str">
        <x:v>item.level.poison.name</x:v>
      </x:c>
      <x:c r="B38" s="9" t="str">
        <x:v>Veneno - Nivel {level}</x:v>
      </x:c>
      <x:c r="C38" s="9" t="str">
        <x:v>Poison - Level {level}</x:v>
      </x:c>
      <x:c r="D38" s="9" t="str"/>
    </x:row>
    <x:row r="39">
      <x:c r="A39" s="9" t="str">
        <x:v>item.level.poison.short</x:v>
      </x:c>
      <x:c r="B39" s="9" t="str">
        <x:v>Acumula veneno y aumenta el daño recibido.</x:v>
      </x:c>
      <x:c r="C39" s="9" t="str">
        <x:v>Poison increases damage taken</x:v>
      </x:c>
      <x:c r="D39" s="9" t="str"/>
    </x:row>
    <x:row r="40">
      <x:c r="A40" s="9" t="str">
        <x:v>item.potion.body_damage.name</x:v>
      </x:c>
      <x:c r="B40" s="9" t="str">
        <x:v>Poción de contacto</x:v>
      </x:c>
      <x:c r="C40" s="9" t="str">
        <x:v>Contact Potion</x:v>
      </x:c>
      <x:c r="D40" s="9" t="str"/>
    </x:row>
    <x:row r="41">
      <x:c r="A41" s="9" t="str">
        <x:v>item.potion.body_damage.short</x:v>
      </x:c>
      <x:c r="B41" s="9" t="str">
        <x:v>Aumenta el daño al tocar enemigos</x:v>
      </x:c>
      <x:c r="C41" s="9" t="str">
        <x:v>Increases contact damage</x:v>
      </x:c>
      <x:c r="D41" s="9" t="str"/>
    </x:row>
    <x:row r="42">
      <x:c r="A42" s="9" t="str">
        <x:v>item.potion.damage.name</x:v>
      </x:c>
      <x:c r="B42" s="9" t="str">
        <x:v>Poción de daño</x:v>
      </x:c>
      <x:c r="C42" s="9" t="str">
        <x:v>Damage Potion</x:v>
      </x:c>
      <x:c r="D42" s="9" t="str"/>
    </x:row>
    <x:row r="43">
      <x:c r="A43" s="9" t="str">
        <x:v>item.potion.damage.short</x:v>
      </x:c>
      <x:c r="B43" s="9" t="str">
        <x:v>Aumenta el daño de tus disparos</x:v>
      </x:c>
      <x:c r="C43" s="9" t="str">
        <x:v>Increases your shot damage</x:v>
      </x:c>
      <x:c r="D43" s="9" t="str"/>
    </x:row>
    <x:row r="44">
      <x:c r="A44" s="9" t="str">
        <x:v>item.potion.health.name</x:v>
      </x:c>
      <x:c r="B44" s="9" t="str">
        <x:v>Poción de vida</x:v>
      </x:c>
      <x:c r="C44" s="9" t="str">
        <x:v>Health Potion</x:v>
      </x:c>
      <x:c r="D44" s="9" t="str"/>
    </x:row>
    <x:row r="45">
      <x:c r="A45" s="9" t="str">
        <x:v>item.potion.health.short</x:v>
      </x:c>
      <x:c r="B45" s="9" t="str">
        <x:v>Recupera toda la vida</x:v>
      </x:c>
      <x:c r="C45" s="9" t="str">
        <x:v>Restores all your health</x:v>
      </x:c>
      <x:c r="D45" s="9" t="str"/>
    </x:row>
    <x:row r="46">
      <x:c r="A46" s="9" t="str">
        <x:v>item.potion.luck.name</x:v>
      </x:c>
      <x:c r="B46" s="9" t="str">
        <x:v>Poción de suerte</x:v>
      </x:c>
      <x:c r="C46" s="9" t="str">
        <x:v>Luck Potion</x:v>
      </x:c>
      <x:c r="D46" s="9" t="str"/>
    </x:row>
    <x:row r="47">
      <x:c r="A47" s="9" t="str">
        <x:v>item.potion.luck.short</x:v>
      </x:c>
      <x:c r="B47" s="9" t="str">
        <x:v>Aumenta tu suerte</x:v>
      </x:c>
      <x:c r="C47" s="9" t="str">
        <x:v>Increases your luck</x:v>
      </x:c>
      <x:c r="D47" s="9" t="str"/>
    </x:row>
    <x:row r="48">
      <x:c r="A48" s="9" t="str">
        <x:v>item.potion.shoot_distance.name</x:v>
      </x:c>
      <x:c r="B48" s="9" t="str">
        <x:v>Poción de alcance</x:v>
      </x:c>
      <x:c r="C48" s="9" t="str">
        <x:v>Range Potion</x:v>
      </x:c>
      <x:c r="D48" s="9" t="str"/>
    </x:row>
    <x:row r="49">
      <x:c r="A49" s="9" t="str">
        <x:v>item.potion.shoot_distance.short</x:v>
      </x:c>
      <x:c r="B49" s="9" t="str">
        <x:v>Aumenta la distancia de tus disparos</x:v>
      </x:c>
      <x:c r="C49" s="9" t="str">
        <x:v>Increases your shot range</x:v>
      </x:c>
      <x:c r="D49" s="9" t="str"/>
    </x:row>
    <x:row r="50">
      <x:c r="A50" s="9" t="str">
        <x:v>item.potion.speed.name</x:v>
      </x:c>
      <x:c r="B50" s="9" t="str">
        <x:v>Poción de velocidad</x:v>
      </x:c>
      <x:c r="C50" s="9" t="str">
        <x:v>Speed Potion</x:v>
      </x:c>
      <x:c r="D50" s="9" t="str"/>
    </x:row>
    <x:row r="51">
      <x:c r="A51" s="9" t="str">
        <x:v>item.potion.speed.short</x:v>
      </x:c>
      <x:c r="B51" s="9" t="str">
        <x:v>Aumenta tu velocidad de movimiento</x:v>
      </x:c>
      <x:c r="C51" s="9" t="str">
        <x:v>Increases your movement speed</x:v>
      </x:c>
      <x:c r="D51" s="9" t="str"/>
    </x:row>
    <x:row r="52">
      <x:c r="A52" s="9" t="str">
        <x:v>item.potion.speed_atack.name</x:v>
      </x:c>
      <x:c r="B52" s="9" t="str">
        <x:v>Poción de cadencia</x:v>
      </x:c>
      <x:c r="C52" s="9" t="str">
        <x:v>Attack Speed Potion</x:v>
      </x:c>
      <x:c r="D52" s="9" t="str"/>
    </x:row>
    <x:row r="53">
      <x:c r="A53" s="9" t="str">
        <x:v>item.potion.speed_atack.short</x:v>
      </x:c>
      <x:c r="B53" s="9" t="str">
        <x:v>Aumenta tu velocidad de ataque</x:v>
      </x:c>
      <x:c r="C53" s="9" t="str">
        <x:v>Increases your attack speed</x:v>
      </x:c>
      <x:c r="D53" s="9" t="str"/>
    </x:row>
    <x:row r="54">
      <x:c r="A54" s="9" t="str">
        <x:v>item.power.big_bullets.name</x:v>
      </x:c>
      <x:c r="B54" s="9" t="str">
        <x:v>Balas grandes</x:v>
      </x:c>
      <x:c r="C54" s="9" t="str">
        <x:v>Big Bullets</x:v>
      </x:c>
      <x:c r="D54" s="9" t="str"/>
    </x:row>
    <x:row r="55">
      <x:c r="A55" s="9" t="str">
        <x:v>item.power.big_bullets.short</x:v>
      </x:c>
      <x:c r="B55" s="9" t="str">
        <x:v>Aumenta el tamaño de los proyectiles.</x:v>
      </x:c>
      <x:c r="C55" s="9" t="str">
        <x:v>Increases projectile size.</x:v>
      </x:c>
      <x:c r="D55" s="9" t="str"/>
    </x:row>
    <x:row r="56">
      <x:c r="A56" s="9" t="str">
        <x:v>item.power.double_shot.name</x:v>
      </x:c>
      <x:c r="B56" s="9" t="str">
        <x:v>Disparo doble</x:v>
      </x:c>
      <x:c r="C56" s="9" t="str">
        <x:v>Double Shot</x:v>
      </x:c>
      <x:c r="D56" s="9" t="str"/>
    </x:row>
    <x:row r="57">
      <x:c r="A57" s="9" t="str">
        <x:v>item.power.double_shot.short</x:v>
      </x:c>
      <x:c r="B57" s="9" t="str">
        <x:v>Dispara dos proyectiles paralelos.</x:v>
      </x:c>
      <x:c r="C57" s="9" t="str">
        <x:v>Fires two parallel projectiles.</x:v>
      </x:c>
      <x:c r="D57" s="9" t="str"/>
    </x:row>
    <x:row r="58">
      <x:c r="A58" s="9" t="str">
        <x:v>item.power.electric.name</x:v>
      </x:c>
      <x:c r="B58" s="9" t="str">
        <x:v>Poder eléctrico</x:v>
      </x:c>
      <x:c r="C58" s="9" t="str">
        <x:v>Electric Power</x:v>
      </x:c>
      <x:c r="D58" s="9" t="str"/>
    </x:row>
    <x:row r="59">
      <x:c r="A59" s="9" t="str">
        <x:v>item.power.electric.short</x:v>
      </x:c>
      <x:c r="B59" s="9" t="str">
        <x:v>Tus disparos pueden aplicar electricidad</x:v>
      </x:c>
      <x:c r="C59" s="9" t="str">
        <x:v>Your shots can apply electricity</x:v>
      </x:c>
      <x:c r="D59" s="9" t="str"/>
    </x:row>
    <x:row r="60">
      <x:c r="A60" s="9" t="str">
        <x:v>item.power.fire.name</x:v>
      </x:c>
      <x:c r="B60" s="9" t="str">
        <x:v>Poder de fuego</x:v>
      </x:c>
      <x:c r="C60" s="9" t="str">
        <x:v>Fire Power</x:v>
      </x:c>
      <x:c r="D60" s="9" t="str"/>
    </x:row>
    <x:row r="61">
      <x:c r="A61" s="9" t="str">
        <x:v>item.power.fire.short</x:v>
      </x:c>
      <x:c r="B61" s="9" t="str">
        <x:v>Tus disparos aplican fuego</x:v>
      </x:c>
      <x:c r="C61" s="9" t="str">
        <x:v>Your shots apply fire</x:v>
      </x:c>
      <x:c r="D61" s="9" t="str"/>
    </x:row>
    <x:row r="62">
      <x:c r="A62" s="9" t="str">
        <x:v>item.power.ice.name</x:v>
      </x:c>
      <x:c r="B62" s="9" t="str">
        <x:v>Poder de hielo</x:v>
      </x:c>
      <x:c r="C62" s="9" t="str">
        <x:v>Ice Power</x:v>
      </x:c>
      <x:c r="D62" s="9" t="str"/>
    </x:row>
    <x:row r="63">
      <x:c r="A63" s="9" t="str">
        <x:v>item.power.ice.short</x:v>
      </x:c>
      <x:c r="B63" s="9" t="str">
        <x:v>Tus disparos pueden aplicar hielo</x:v>
      </x:c>
      <x:c r="C63" s="9" t="str">
        <x:v>Your shots can apply ice</x:v>
      </x:c>
      <x:c r="D63" s="9" t="str"/>
    </x:row>
    <x:row r="64">
      <x:c r="A64" s="9" t="str">
        <x:v>item.power.poison.name</x:v>
      </x:c>
      <x:c r="B64" s="9" t="str">
        <x:v>Poder de veneno</x:v>
      </x:c>
      <x:c r="C64" s="9" t="str">
        <x:v>Poison Power</x:v>
      </x:c>
      <x:c r="D64" s="9" t="str"/>
    </x:row>
    <x:row r="65">
      <x:c r="A65" s="9" t="str">
        <x:v>item.power.poison.short</x:v>
      </x:c>
      <x:c r="B65" s="9" t="str">
        <x:v>Tus disparos pueden aplicar veneno</x:v>
      </x:c>
      <x:c r="C65" s="9" t="str">
        <x:v>Your shots can apply poison</x:v>
      </x:c>
      <x:c r="D65" s="9" t="str"/>
    </x:row>
    <x:row r="66">
      <x:c r="A66" s="9" t="str">
        <x:v>item.power.rear_shot.name</x:v>
      </x:c>
      <x:c r="B66" s="9" t="str">
        <x:v>Disparo trasero</x:v>
      </x:c>
      <x:c r="C66" s="9" t="str">
        <x:v>Rear Shot</x:v>
      </x:c>
      <x:c r="D66" s="9" t="str"/>
    </x:row>
    <x:row r="67">
      <x:c r="A67" s="9" t="str">
        <x:v>item.power.rear_shot.short</x:v>
      </x:c>
      <x:c r="B67" s="9" t="str">
        <x:v>Repite la descarga completa hacia atrás.</x:v>
      </x:c>
      <x:c r="C67" s="9" t="str">
        <x:v>Repeats the full volley behind you.</x:v>
      </x:c>
      <x:c r="D67" s="9" t="str"/>
    </x:row>
    <x:row r="68">
      <x:c r="A68" s="9" t="str">
        <x:v>item.power.triple_shot.name</x:v>
      </x:c>
      <x:c r="B68" s="9" t="str">
        <x:v>Disparo triple</x:v>
      </x:c>
      <x:c r="C68" s="9" t="str">
        <x:v>Triple Shot</x:v>
      </x:c>
      <x:c r="D68" s="9" t="str"/>
    </x:row>
    <x:row r="69">
      <x:c r="A69" s="9" t="str">
        <x:v>item.power.triple_shot.short</x:v>
      </x:c>
      <x:c r="B69" s="9" t="str">
        <x:v>Dispara tres proyectiles en abanico.</x:v>
      </x:c>
      <x:c r="C69" s="9" t="str">
        <x:v>Fires three projectiles in a spread.</x:v>
      </x:c>
      <x:c r="D69" s="9" t="str"/>
    </x:row>
    <x:row r="70">
      <x:c r="A70" s="9" t="str">
        <x:v>ui.tooltip.hold_shift</x:v>
      </x:c>
      <x:c r="B70" s="9" t="str">
        <x:v>Mantén Shift para detalles</x:v>
      </x:c>
      <x:c r="C70" s="9" t="str">
        <x:v>Hold Shift for details</x:v>
      </x:c>
      <x:c r="D70" s="9" t="str"/>
    </x:row>
    <x:row r="71">
      <x:c r="A71" s="9" t="str">
        <x:v>ui.tooltip.release_shift</x:v>
      </x:c>
      <x:c r="B71" s="9" t="str">
        <x:v>Suelta Shift para resumen</x:v>
      </x:c>
      <x:c r="C71" s="9" t="str">
        <x:v>Release Shift for summary</x:v>
      </x:c>
      <x:c r="D71" s="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0" hidden="0" customWidth="1"/>
    <x:col min="4" max="4" width="66" hidden="0" customWidth="1"/>
  </x:cols>
  <x:sheetData>
    <x:row r="1" ht="24" customHeight="1">
      <x:c r="A1" s="8" t="str">
        <x:v>text_key</x:v>
      </x:c>
      <x:c r="B1" s="8" t="str">
        <x:v>language</x:v>
      </x:c>
      <x:c r="C1" s="8" t="str">
        <x:v>order</x:v>
      </x:c>
      <x:c r="D1" s="8" t="str">
        <x:v>text</x:v>
      </x:c>
    </x:row>
    <x:row r="2">
      <x:c r="A2" s="9" t="str">
        <x:v>item.book.electric</x:v>
      </x:c>
      <x:c r="B2" s="9" t="str">
        <x:v>es</x:v>
      </x:c>
      <x:c r="C2" s="9" t="n">
        <x:v>1</x:v>
      </x:c>
      <x:c r="D2" s="9" t="str">
        <x:v>+{damage_percentage} daño por salto</x:v>
      </x:c>
    </x:row>
    <x:row r="3">
      <x:c r="A3" s="9" t="str">
        <x:v>item.book.electric</x:v>
      </x:c>
      <x:c r="B3" s="9" t="str">
        <x:v>es</x:v>
      </x:c>
      <x:c r="C3" s="9" t="n">
        <x:v>2</x:v>
      </x:c>
      <x:c r="D3" s="9" t="str">
        <x:v>+{max_jump_distance} distancia máxima entre saltos</x:v>
      </x:c>
    </x:row>
    <x:row r="4">
      <x:c r="A4" s="9" t="str">
        <x:v>item.book.electric_poison</x:v>
      </x:c>
      <x:c r="B4" s="9" t="str">
        <x:v>es</x:v>
      </x:c>
      <x:c r="C4" s="9" t="n">
        <x:v>1</x:v>
      </x:c>
      <x:c r="D4" s="9" t="str">
        <x:v>Añade aquí el primer valor del combo</x:v>
      </x:c>
    </x:row>
    <x:row r="5">
      <x:c r="A5" s="9" t="str">
        <x:v>item.book.electric_poison</x:v>
      </x:c>
      <x:c r="B5" s="9" t="str">
        <x:v>es</x:v>
      </x:c>
      <x:c r="C5" s="9" t="n">
        <x:v>2</x:v>
      </x:c>
      <x:c r="D5" s="9" t="str">
        <x:v>Añade aquí el segundo valor del combo</x:v>
      </x:c>
    </x:row>
    <x:row r="6">
      <x:c r="A6" s="9" t="str">
        <x:v>item.book.fire</x:v>
      </x:c>
      <x:c r="B6" s="9" t="str">
        <x:v>es</x:v>
      </x:c>
      <x:c r="C6" s="9" t="n">
        <x:v>1</x:v>
      </x:c>
      <x:c r="D6" s="9" t="str">
        <x:v>+{burn_damage} daño por tick</x:v>
      </x:c>
    </x:row>
    <x:row r="7">
      <x:c r="A7" s="9" t="str">
        <x:v>item.book.fire</x:v>
      </x:c>
      <x:c r="B7" s="9" t="str">
        <x:v>es</x:v>
      </x:c>
      <x:c r="C7" s="9" t="n">
        <x:v>2</x:v>
      </x:c>
      <x:c r="D7" s="9" t="str">
        <x:v>+{burn_duration}s de quemado</x:v>
      </x:c>
    </x:row>
    <x:row r="8">
      <x:c r="A8" s="9" t="str">
        <x:v>item.book.fire_electric</x:v>
      </x:c>
      <x:c r="B8" s="9" t="str">
        <x:v>es</x:v>
      </x:c>
      <x:c r="C8" s="9" t="n">
        <x:v>1</x:v>
      </x:c>
      <x:c r="D8" s="9" t="str">
        <x:v>+{damage_multiplier} daño de fragmentos</x:v>
      </x:c>
    </x:row>
    <x:row r="9">
      <x:c r="A9" s="9" t="str">
        <x:v>item.book.fire_electric</x:v>
      </x:c>
      <x:c r="B9" s="9" t="str">
        <x:v>es</x:v>
      </x:c>
      <x:c r="C9" s="9" t="n">
        <x:v>2</x:v>
      </x:c>
      <x:c r="D9" s="9" t="str">
        <x:v>+{fragment_range} alcance de fragmentos</x:v>
      </x:c>
    </x:row>
    <x:row r="10">
      <x:c r="A10" s="9" t="str">
        <x:v>item.book.fire_ice</x:v>
      </x:c>
      <x:c r="B10" s="9" t="str">
        <x:v>es</x:v>
      </x:c>
      <x:c r="C10" s="9" t="n">
        <x:v>1</x:v>
      </x:c>
      <x:c r="D10" s="9" t="str">
        <x:v>+{damage_multiplier} daño al romper el hielo</x:v>
      </x:c>
    </x:row>
    <x:row r="11">
      <x:c r="A11" s="9" t="str">
        <x:v>item.book.fire_poison</x:v>
      </x:c>
      <x:c r="B11" s="9" t="str">
        <x:v>es</x:v>
      </x:c>
      <x:c r="C11" s="9" t="n">
        <x:v>1</x:v>
      </x:c>
      <x:c r="D11" s="9" t="str">
        <x:v>+{cloud_radius} radio de nube</x:v>
      </x:c>
    </x:row>
    <x:row r="12">
      <x:c r="A12" s="9" t="str">
        <x:v>item.book.fire_poison</x:v>
      </x:c>
      <x:c r="B12" s="9" t="str">
        <x:v>es</x:v>
      </x:c>
      <x:c r="C12" s="9" t="n">
        <x:v>2</x:v>
      </x:c>
      <x:c r="D12" s="9" t="str">
        <x:v>+{cloud_duration}s de nube</x:v>
      </x:c>
    </x:row>
    <x:row r="13">
      <x:c r="A13" s="9" t="str">
        <x:v>item.book.ice</x:v>
      </x:c>
      <x:c r="B13" s="9" t="str">
        <x:v>es</x:v>
      </x:c>
      <x:c r="C13" s="9" t="n">
        <x:v>1</x:v>
      </x:c>
      <x:c r="D13" s="9" t="str">
        <x:v>+{slow_duration}s de ralentización</x:v>
      </x:c>
    </x:row>
    <x:row r="14">
      <x:c r="A14" s="9" t="str">
        <x:v>item.book.ice</x:v>
      </x:c>
      <x:c r="B14" s="9" t="str">
        <x:v>es</x:v>
      </x:c>
      <x:c r="C14" s="9" t="n">
        <x:v>2</x:v>
      </x:c>
      <x:c r="D14" s="9" t="str">
        <x:v>{good:slow_multiplier} multiplicador de velocidad</x:v>
      </x:c>
    </x:row>
    <x:row r="15">
      <x:c r="A15" s="9" t="str">
        <x:v>item.book.ice</x:v>
      </x:c>
      <x:c r="B15" s="9" t="str">
        <x:v>es</x:v>
      </x:c>
      <x:c r="C15" s="9" t="n">
        <x:v>3</x:v>
      </x:c>
      <x:c r="D15" s="9" t="str">
        <x:v>+{ice_duration}s de congelación</x:v>
      </x:c>
    </x:row>
    <x:row r="16">
      <x:c r="A16" s="9" t="str">
        <x:v>item.book.ice_electric</x:v>
      </x:c>
      <x:c r="B16" s="9" t="str">
        <x:v>es</x:v>
      </x:c>
      <x:c r="C16" s="9" t="n">
        <x:v>1</x:v>
      </x:c>
      <x:c r="D16" s="9" t="str">
        <x:v>+{tick_damage} daño por tick</x:v>
      </x:c>
    </x:row>
    <x:row r="17">
      <x:c r="A17" s="9" t="str">
        <x:v>item.book.ice_electric</x:v>
      </x:c>
      <x:c r="B17" s="9" t="str">
        <x:v>es</x:v>
      </x:c>
      <x:c r="C17" s="9" t="n">
        <x:v>2</x:v>
      </x:c>
      <x:c r="D17" s="9" t="str">
        <x:v>+{puddle_duration_bonus}s de charco</x:v>
      </x:c>
    </x:row>
    <x:row r="18">
      <x:c r="A18" s="9" t="str">
        <x:v>item.book.ice_electric</x:v>
      </x:c>
      <x:c r="B18" s="9" t="str">
        <x:v>es</x:v>
      </x:c>
      <x:c r="C18" s="9" t="n">
        <x:v>3</x:v>
      </x:c>
      <x:c r="D18" s="9" t="str">
        <x:v>+{electric_duration}s electrificado</x:v>
      </x:c>
    </x:row>
    <x:row r="19">
      <x:c r="A19" s="9" t="str">
        <x:v>item.book.ice_electric</x:v>
      </x:c>
      <x:c r="B19" s="9" t="str">
        <x:v>es</x:v>
      </x:c>
      <x:c r="C19" s="9" t="n">
        <x:v>4</x:v>
      </x:c>
      <x:c r="D19" s="9" t="str">
        <x:v>+{puddle_size_multiplier} tamaño del charco</x:v>
      </x:c>
    </x:row>
    <x:row r="20">
      <x:c r="A20" s="9" t="str">
        <x:v>item.book.ice_poison</x:v>
      </x:c>
      <x:c r="B20" s="9" t="str">
        <x:v>es</x:v>
      </x:c>
      <x:c r="C20" s="9" t="n">
        <x:v>1</x:v>
      </x:c>
      <x:c r="D20" s="9" t="str">
        <x:v>+{execute_threshold_per_stack} ejecución por stack</x:v>
      </x:c>
    </x:row>
    <x:row r="21">
      <x:c r="A21" s="9" t="str">
        <x:v>item.book.ice_poison</x:v>
      </x:c>
      <x:c r="B21" s="9" t="str">
        <x:v>es</x:v>
      </x:c>
      <x:c r="C21" s="9" t="n">
        <x:v>2</x:v>
      </x:c>
      <x:c r="D21" s="9" t="str">
        <x:v>+{fragile_duration}s de Marca Frágil</x:v>
      </x:c>
    </x:row>
    <x:row r="22">
      <x:c r="A22" s="9" t="str">
        <x:v>item.book.poison</x:v>
      </x:c>
      <x:c r="B22" s="9" t="str">
        <x:v>es</x:v>
      </x:c>
      <x:c r="C22" s="9" t="n">
        <x:v>1</x:v>
      </x:c>
      <x:c r="D22" s="9" t="str">
        <x:v>+{damage_taken_per_stack} daño recibido por stack</x:v>
      </x:c>
    </x:row>
    <x:row r="23">
      <x:c r="A23" s="9" t="str">
        <x:v>item.book.poison</x:v>
      </x:c>
      <x:c r="B23" s="9" t="str">
        <x:v>es</x:v>
      </x:c>
      <x:c r="C23" s="9" t="n">
        <x:v>2</x:v>
      </x:c>
      <x:c r="D23" s="9" t="str">
        <x:v>+{boss_duration}s de veneno en jefes</x:v>
      </x:c>
    </x:row>
    <x:row r="24">
      <x:c r="A24" s="9" t="str">
        <x:v>item.level.electric</x:v>
      </x:c>
      <x:c r="B24" s="9" t="str">
        <x:v>es</x:v>
      </x:c>
      <x:c r="C24" s="9" t="n">
        <x:v>1</x:v>
      </x:c>
      <x:c r="D24" s="9" t="str">
        <x:v>Daño de la cadena: {good:chain_damage_percent}%</x:v>
      </x:c>
    </x:row>
    <x:row r="25">
      <x:c r="A25" s="9" t="str">
        <x:v>item.level.electric</x:v>
      </x:c>
      <x:c r="B25" s="9" t="str">
        <x:v>es</x:v>
      </x:c>
      <x:c r="C25" s="9" t="n">
        <x:v>2</x:v>
      </x:c>
      <x:c r="D25" s="9" t="str">
        <x:v>Saltos máximos: {good:max_targets}</x:v>
      </x:c>
    </x:row>
    <x:row r="26">
      <x:c r="A26" s="9" t="str">
        <x:v>item.level.electric</x:v>
      </x:c>
      <x:c r="B26" s="9" t="str">
        <x:v>es</x:v>
      </x:c>
      <x:c r="C26" s="9" t="n">
        <x:v>3</x:v>
      </x:c>
      <x:c r="D26" s="9" t="str">
        <x:v>Distancia de salto: {good:max_jump_distance}</x:v>
      </x:c>
    </x:row>
    <x:row r="27">
      <x:c r="A27" s="9" t="str">
        <x:v>item.level.fire</x:v>
      </x:c>
      <x:c r="B27" s="9" t="str">
        <x:v>es</x:v>
      </x:c>
      <x:c r="C27" s="9" t="n">
        <x:v>1</x:v>
      </x:c>
      <x:c r="D27" s="9" t="str">
        <x:v>Daño por tick: {good:burn_damage}</x:v>
      </x:c>
    </x:row>
    <x:row r="28">
      <x:c r="A28" s="9" t="str">
        <x:v>item.level.fire</x:v>
      </x:c>
      <x:c r="B28" s="9" t="str">
        <x:v>es</x:v>
      </x:c>
      <x:c r="C28" s="9" t="n">
        <x:v>2</x:v>
      </x:c>
      <x:c r="D28" s="9" t="str">
        <x:v>Duración: {good:burn_duration}s</x:v>
      </x:c>
    </x:row>
    <x:row r="29">
      <x:c r="A29" s="9" t="str">
        <x:v>item.level.fire</x:v>
      </x:c>
      <x:c r="B29" s="9" t="str">
        <x:v>es</x:v>
      </x:c>
      <x:c r="C29" s="9" t="n">
        <x:v>3</x:v>
      </x:c>
      <x:c r="D29" s="9" t="str">
        <x:v>Intervalo: {good:burn_tick_timer}s</x:v>
      </x:c>
    </x:row>
    <x:row r="30">
      <x:c r="A30" s="9" t="str">
        <x:v>item.level.fire_electric</x:v>
      </x:c>
      <x:c r="B30" s="9" t="str">
        <x:v>es</x:v>
      </x:c>
      <x:c r="C30" s="9" t="n">
        <x:v>1</x:v>
      </x:c>
      <x:c r="D30" s="9" t="str">
        <x:v>Fragmentos: {good:fragment_count}</x:v>
      </x:c>
    </x:row>
    <x:row r="31">
      <x:c r="A31" s="9" t="str">
        <x:v>item.level.fire_electric</x:v>
      </x:c>
      <x:c r="B31" s="9" t="str">
        <x:v>es</x:v>
      </x:c>
      <x:c r="C31" s="9" t="n">
        <x:v>2</x:v>
      </x:c>
      <x:c r="D31" s="9" t="str">
        <x:v>Daño por fragmento: {good:fragment_damage_percent}%</x:v>
      </x:c>
    </x:row>
    <x:row r="32">
      <x:c r="A32" s="9" t="str">
        <x:v>item.level.fire_electric</x:v>
      </x:c>
      <x:c r="B32" s="9" t="str">
        <x:v>es</x:v>
      </x:c>
      <x:c r="C32" s="9" t="n">
        <x:v>3</x:v>
      </x:c>
      <x:c r="D32" s="9" t="str">
        <x:v>Alcance: {good:fragment_range}</x:v>
      </x:c>
    </x:row>
    <x:row r="33">
      <x:c r="A33" s="9" t="str">
        <x:v>item.level.fire_electric</x:v>
      </x:c>
      <x:c r="B33" s="9" t="str">
        <x:v>es</x:v>
      </x:c>
      <x:c r="C33" s="9" t="n">
        <x:v>4</x:v>
      </x:c>
      <x:c r="D33" s="9" t="str">
        <x:v>Tiempo hasta estallar: {good:embed_duration}s</x:v>
      </x:c>
    </x:row>
    <x:row r="34">
      <x:c r="A34" s="9" t="str">
        <x:v>item.level.fire_electric</x:v>
      </x:c>
      <x:c r="B34" s="9" t="str">
        <x:v>es</x:v>
      </x:c>
      <x:c r="C34" s="9" t="n">
        <x:v>5</x:v>
      </x:c>
      <x:c r="D34" s="9" t="str">
        <x:v>Ángulo de dispersión: {good:spread_angle}°</x:v>
      </x:c>
    </x:row>
    <x:row r="35">
      <x:c r="A35" s="9" t="str">
        <x:v>item.level.fire_ice</x:v>
      </x:c>
      <x:c r="B35" s="9" t="str">
        <x:v>es</x:v>
      </x:c>
      <x:c r="C35" s="9" t="n">
        <x:v>1</x:v>
      </x:c>
      <x:c r="D35" s="9" t="str">
        <x:v>Multiplicador adicional: x{good:damage_multiplier}</x:v>
      </x:c>
    </x:row>
    <x:row r="36">
      <x:c r="A36" s="9" t="str">
        <x:v>item.level.fire_poison</x:v>
      </x:c>
      <x:c r="B36" s="9" t="str">
        <x:v>es</x:v>
      </x:c>
      <x:c r="C36" s="9" t="n">
        <x:v>1</x:v>
      </x:c>
      <x:c r="D36" s="9" t="str">
        <x:v>Radio de la nube: {good:cloud_radius}</x:v>
      </x:c>
    </x:row>
    <x:row r="37">
      <x:c r="A37" s="9" t="str">
        <x:v>item.level.fire_poison</x:v>
      </x:c>
      <x:c r="B37" s="9" t="str">
        <x:v>es</x:v>
      </x:c>
      <x:c r="C37" s="9" t="n">
        <x:v>2</x:v>
      </x:c>
      <x:c r="D37" s="9" t="str">
        <x:v>Duración: {good:cloud_duration}s</x:v>
      </x:c>
    </x:row>
    <x:row r="38">
      <x:c r="A38" s="9" t="str">
        <x:v>item.level.fire_poison</x:v>
      </x:c>
      <x:c r="B38" s="9" t="str">
        <x:v>es</x:v>
      </x:c>
      <x:c r="C38" s="9" t="n">
        <x:v>3</x:v>
      </x:c>
      <x:c r="D38" s="9" t="str">
        <x:v>Intervalo: {good:tick_time}s</x:v>
      </x:c>
    </x:row>
    <x:row r="39">
      <x:c r="A39" s="9" t="str">
        <x:v>item.level.fire_poison</x:v>
      </x:c>
      <x:c r="B39" s="9" t="str">
        <x:v>es</x:v>
      </x:c>
      <x:c r="C39" s="9" t="n">
        <x:v>4</x:v>
      </x:c>
      <x:c r="D39" s="9" t="str">
        <x:v>Veneno por tick: {good:stacks_per_tick}</x:v>
      </x:c>
    </x:row>
    <x:row r="40">
      <x:c r="A40" s="9" t="str">
        <x:v>item.level.ice</x:v>
      </x:c>
      <x:c r="B40" s="9" t="str">
        <x:v>es</x:v>
      </x:c>
      <x:c r="C40" s="9" t="n">
        <x:v>1</x:v>
      </x:c>
      <x:c r="D40" s="9" t="str">
        <x:v>Ralentización: {good:slow_percent}%</x:v>
      </x:c>
    </x:row>
    <x:row r="41">
      <x:c r="A41" s="9" t="str">
        <x:v>item.level.ice</x:v>
      </x:c>
      <x:c r="B41" s="9" t="str">
        <x:v>es</x:v>
      </x:c>
      <x:c r="C41" s="9" t="n">
        <x:v>2</x:v>
      </x:c>
      <x:c r="D41" s="9" t="str">
        <x:v>Duración de ralentización: {good:slow_duration}s</x:v>
      </x:c>
    </x:row>
    <x:row r="42">
      <x:c r="A42" s="9" t="str">
        <x:v>item.level.ice</x:v>
      </x:c>
      <x:c r="B42" s="9" t="str">
        <x:v>es</x:v>
      </x:c>
      <x:c r="C42" s="9" t="n">
        <x:v>3</x:v>
      </x:c>
      <x:c r="D42" s="9" t="str">
        <x:v>Impactos para congelar: {good:max_ice_stacks}</x:v>
      </x:c>
    </x:row>
    <x:row r="43">
      <x:c r="A43" s="9" t="str">
        <x:v>item.level.ice</x:v>
      </x:c>
      <x:c r="B43" s="9" t="str">
        <x:v>es</x:v>
      </x:c>
      <x:c r="C43" s="9" t="n">
        <x:v>4</x:v>
      </x:c>
      <x:c r="D43" s="9" t="str">
        <x:v>Duración de congelación: {good:ice_duration}s</x:v>
      </x:c>
    </x:row>
    <x:row r="44">
      <x:c r="A44" s="9" t="str">
        <x:v>item.level.ice</x:v>
      </x:c>
      <x:c r="B44" s="9" t="str">
        <x:v>es</x:v>
      </x:c>
      <x:c r="C44" s="9" t="n">
        <x:v>5</x:v>
      </x:c>
      <x:c r="D44" s="9" t="str">
        <x:v>Recarga de congelación: {good:ice_cooldown}s</x:v>
      </x:c>
    </x:row>
    <x:row r="45">
      <x:c r="A45" s="9" t="str">
        <x:v>item.level.ice_electric</x:v>
      </x:c>
      <x:c r="B45" s="9" t="str">
        <x:v>es</x:v>
      </x:c>
      <x:c r="C45" s="9" t="n">
        <x:v>1</x:v>
      </x:c>
      <x:c r="D45" s="9" t="str">
        <x:v>Tamaño del charco: x{good:puddle_size_multiplier}</x:v>
      </x:c>
    </x:row>
    <x:row r="46">
      <x:c r="A46" s="9" t="str">
        <x:v>item.level.ice_electric</x:v>
      </x:c>
      <x:c r="B46" s="9" t="str">
        <x:v>es</x:v>
      </x:c>
      <x:c r="C46" s="9" t="n">
        <x:v>2</x:v>
      </x:c>
      <x:c r="D46" s="9" t="str">
        <x:v>Duración adicional: {good:puddle_duration_bonus}s</x:v>
      </x:c>
    </x:row>
    <x:row r="47">
      <x:c r="A47" s="9" t="str">
        <x:v>item.level.ice_electric</x:v>
      </x:c>
      <x:c r="B47" s="9" t="str">
        <x:v>es</x:v>
      </x:c>
      <x:c r="C47" s="9" t="n">
        <x:v>3</x:v>
      </x:c>
      <x:c r="D47" s="9" t="str">
        <x:v>Tiempo electrificado: {good:electric_duration}s</x:v>
      </x:c>
    </x:row>
    <x:row r="48">
      <x:c r="A48" s="9" t="str">
        <x:v>item.level.ice_electric</x:v>
      </x:c>
      <x:c r="B48" s="9" t="str">
        <x:v>es</x:v>
      </x:c>
      <x:c r="C48" s="9" t="n">
        <x:v>4</x:v>
      </x:c>
      <x:c r="D48" s="9" t="str">
        <x:v>Daño por tick: {good:tick_damage}</x:v>
      </x:c>
    </x:row>
    <x:row r="49">
      <x:c r="A49" s="9" t="str">
        <x:v>item.level.ice_poison</x:v>
      </x:c>
      <x:c r="B49" s="9" t="str">
        <x:v>es</x:v>
      </x:c>
      <x:c r="C49" s="9" t="n">
        <x:v>1</x:v>
      </x:c>
      <x:c r="D49" s="9" t="str">
        <x:v>Duración de fragilidad: {good:fragile_duration}s</x:v>
      </x:c>
    </x:row>
    <x:row r="50">
      <x:c r="A50" s="9" t="str">
        <x:v>item.level.ice_poison</x:v>
      </x:c>
      <x:c r="B50" s="9" t="str">
        <x:v>es</x:v>
      </x:c>
      <x:c r="C50" s="9" t="n">
        <x:v>2</x:v>
      </x:c>
      <x:c r="D50" s="9" t="str">
        <x:v>Ejecución base: {good:execute_base_percent}%</x:v>
      </x:c>
    </x:row>
    <x:row r="51">
      <x:c r="A51" s="9" t="str">
        <x:v>item.level.ice_poison</x:v>
      </x:c>
      <x:c r="B51" s="9" t="str">
        <x:v>es</x:v>
      </x:c>
      <x:c r="C51" s="9" t="n">
        <x:v>3</x:v>
      </x:c>
      <x:c r="D51" s="9" t="str">
        <x:v>Ejecución por acumulación: {good:execute_stack_percent}%</x:v>
      </x:c>
    </x:row>
    <x:row r="52">
      <x:c r="A52" s="9" t="str">
        <x:v>item.level.poison</x:v>
      </x:c>
      <x:c r="B52" s="9" t="str">
        <x:v>es</x:v>
      </x:c>
      <x:c r="C52" s="9" t="n">
        <x:v>1</x:v>
      </x:c>
      <x:c r="D52" s="9" t="str">
        <x:v>Acumulaciones máximas: {good:max_stacks}</x:v>
      </x:c>
    </x:row>
    <x:row r="53">
      <x:c r="A53" s="9" t="str">
        <x:v>item.level.poison</x:v>
      </x:c>
      <x:c r="B53" s="9" t="str">
        <x:v>es</x:v>
      </x:c>
      <x:c r="C53" s="9" t="n">
        <x:v>2</x:v>
      </x:c>
      <x:c r="D53" s="9" t="str">
        <x:v>Daño recibido por acumulación: {good:damage_received_percent}%</x:v>
      </x:c>
    </x:row>
    <x:row r="54">
      <x:c r="A54" s="9" t="str">
        <x:v>item.level.poison</x:v>
      </x:c>
      <x:c r="B54" s="9" t="str">
        <x:v>es</x:v>
      </x:c>
      <x:c r="C54" s="9" t="n">
        <x:v>3</x:v>
      </x:c>
      <x:c r="D54" s="9" t="str">
        <x:v>Duración contra jefes: {good:boss_duration}s</x:v>
      </x:c>
    </x:row>
    <x:row r="55">
      <x:c r="A55" s="9" t="str">
        <x:v>item.potion.body_damage</x:v>
      </x:c>
      <x:c r="B55" s="9" t="str">
        <x:v>es</x:v>
      </x:c>
      <x:c r="C55" s="9" t="n">
        <x:v>1</x:v>
      </x:c>
      <x:c r="D55" s="9" t="str">
        <x:v>+{amount} daño por contacto</x:v>
      </x:c>
    </x:row>
    <x:row r="56">
      <x:c r="A56" s="9" t="str">
        <x:v>item.potion.damage</x:v>
      </x:c>
      <x:c r="B56" s="9" t="str">
        <x:v>es</x:v>
      </x:c>
      <x:c r="C56" s="9" t="n">
        <x:v>1</x:v>
      </x:c>
      <x:c r="D56" s="9" t="str">
        <x:v>+{amount} daño de disparo</x:v>
      </x:c>
    </x:row>
    <x:row r="57">
      <x:c r="A57" s="9" t="str">
        <x:v>item.potion.health</x:v>
      </x:c>
      <x:c r="B57" s="9" t="str">
        <x:v>es</x:v>
      </x:c>
      <x:c r="C57" s="9" t="n">
        <x:v>1</x:v>
      </x:c>
      <x:c r="D57" s="9" t="str">
        <x:v>Recupera toda la vida</x:v>
      </x:c>
    </x:row>
    <x:row r="58">
      <x:c r="A58" s="9" t="str">
        <x:v>item.potion.luck</x:v>
      </x:c>
      <x:c r="B58" s="9" t="str">
        <x:v>es</x:v>
      </x:c>
      <x:c r="C58" s="9" t="n">
        <x:v>1</x:v>
      </x:c>
      <x:c r="D58" s="9" t="str">
        <x:v>+{amount} suerte</x:v>
      </x:c>
    </x:row>
    <x:row r="59">
      <x:c r="A59" s="9" t="str">
        <x:v>item.potion.shoot_distance</x:v>
      </x:c>
      <x:c r="B59" s="9" t="str">
        <x:v>es</x:v>
      </x:c>
      <x:c r="C59" s="9" t="n">
        <x:v>1</x:v>
      </x:c>
      <x:c r="D59" s="9" t="str">
        <x:v>+{amount} alcance de disparo</x:v>
      </x:c>
    </x:row>
    <x:row r="60">
      <x:c r="A60" s="9" t="str">
        <x:v>item.potion.speed</x:v>
      </x:c>
      <x:c r="B60" s="9" t="str">
        <x:v>es</x:v>
      </x:c>
      <x:c r="C60" s="9" t="n">
        <x:v>1</x:v>
      </x:c>
      <x:c r="D60" s="9" t="str">
        <x:v>+{amount} velocidad de movimiento</x:v>
      </x:c>
    </x:row>
    <x:row r="61">
      <x:c r="A61" s="9" t="str">
        <x:v>item.potion.speed_atack</x:v>
      </x:c>
      <x:c r="B61" s="9" t="str">
        <x:v>es</x:v>
      </x:c>
      <x:c r="C61" s="9" t="n">
        <x:v>1</x:v>
      </x:c>
      <x:c r="D61" s="9" t="str">
        <x:v>{good:amount}s entre disparos</x:v>
      </x:c>
    </x:row>
    <x:row r="62">
      <x:c r="A62" s="9" t="str">
        <x:v>item.power.big_bullets</x:v>
      </x:c>
      <x:c r="B62" s="9" t="str">
        <x:v>es</x:v>
      </x:c>
      <x:c r="C62" s="9" t="n">
        <x:v>1</x:v>
      </x:c>
      <x:c r="D62" s="9" t="str">
        <x:v>Tamaño: x{good:radius_multiplier}</x:v>
      </x:c>
    </x:row>
    <x:row r="63">
      <x:c r="A63" s="9" t="str">
        <x:v>item.power.double_shot</x:v>
      </x:c>
      <x:c r="B63" s="9" t="str">
        <x:v>es</x:v>
      </x:c>
      <x:c r="C63" s="9" t="n">
        <x:v>1</x:v>
      </x:c>
      <x:c r="D63" s="9" t="str">
        <x:v>Proyectiles: {good:parallel_count}</x:v>
      </x:c>
    </x:row>
    <x:row r="64">
      <x:c r="A64" s="9" t="str">
        <x:v>item.power.double_shot</x:v>
      </x:c>
      <x:c r="B64" s="9" t="str">
        <x:v>es</x:v>
      </x:c>
      <x:c r="C64" s="9" t="n">
        <x:v>2</x:v>
      </x:c>
      <x:c r="D64" s="9" t="str">
        <x:v>Separación: {good:parallel_spacing}</x:v>
      </x:c>
    </x:row>
    <x:row r="65">
      <x:c r="A65" s="9" t="str">
        <x:v>item.power.electric</x:v>
      </x:c>
      <x:c r="B65" s="9" t="str">
        <x:v>es</x:v>
      </x:c>
      <x:c r="C65" s="9" t="n">
        <x:v>1</x:v>
      </x:c>
      <x:c r="D65" s="9" t="str">
        <x:v>{chance_percent} de probabilidad de aplicar electricidad</x:v>
      </x:c>
    </x:row>
    <x:row r="66">
      <x:c r="A66" s="9" t="str">
        <x:v>item.power.fire</x:v>
      </x:c>
      <x:c r="B66" s="9" t="str">
        <x:v>es</x:v>
      </x:c>
      <x:c r="C66" s="9" t="n">
        <x:v>1</x:v>
      </x:c>
      <x:c r="D66" s="9" t="str">
        <x:v>Activa el fuego como elemento principal</x:v>
      </x:c>
    </x:row>
    <x:row r="67">
      <x:c r="A67" s="9" t="str">
        <x:v>item.power.ice</x:v>
      </x:c>
      <x:c r="B67" s="9" t="str">
        <x:v>es</x:v>
      </x:c>
      <x:c r="C67" s="9" t="n">
        <x:v>1</x:v>
      </x:c>
      <x:c r="D67" s="9" t="str">
        <x:v>{chance_percent} de probabilidad de aplicar hielo</x:v>
      </x:c>
    </x:row>
    <x:row r="68">
      <x:c r="A68" s="9" t="str">
        <x:v>item.power.poison</x:v>
      </x:c>
      <x:c r="B68" s="9" t="str">
        <x:v>es</x:v>
      </x:c>
      <x:c r="C68" s="9" t="n">
        <x:v>1</x:v>
      </x:c>
      <x:c r="D68" s="9" t="str">
        <x:v>{chance_percent} de probabilidad de aplicar veneno</x:v>
      </x:c>
    </x:row>
    <x:row r="69">
      <x:c r="A69" s="9" t="str">
        <x:v>item.power.rear_shot</x:v>
      </x:c>
      <x:c r="B69" s="9" t="str">
        <x:v>es</x:v>
      </x:c>
      <x:c r="C69" s="9" t="n">
        <x:v>1</x:v>
      </x:c>
      <x:c r="D69" s="9" t="str">
        <x:v>Disparo posterior: {good:rear_shot}</x:v>
      </x:c>
    </x:row>
    <x:row r="70">
      <x:c r="A70" s="9" t="str">
        <x:v>item.power.triple_shot</x:v>
      </x:c>
      <x:c r="B70" s="9" t="str">
        <x:v>es</x:v>
      </x:c>
      <x:c r="C70" s="9" t="n">
        <x:v>1</x:v>
      </x:c>
      <x:c r="D70" s="9" t="str">
        <x:v>Proyectiles: {good:fan_count}</x:v>
      </x:c>
    </x:row>
    <x:row r="71">
      <x:c r="A71" s="9" t="str">
        <x:v>item.power.triple_shot</x:v>
      </x:c>
      <x:c r="B71" s="9" t="str">
        <x:v>es</x:v>
      </x:c>
      <x:c r="C71" s="9" t="n">
        <x:v>2</x:v>
      </x:c>
      <x:c r="D71" s="9" t="str">
        <x:v>Ángulo: {good:fan_angle}°</x:v>
      </x:c>
    </x:row>
    <x:row r="72">
      <x:c r="A72" s="9" t="str">
        <x:v>item.book.electric</x:v>
      </x:c>
      <x:c r="B72" s="9" t="str">
        <x:v>en</x:v>
      </x:c>
      <x:c r="C72" s="9" t="n">
        <x:v>1</x:v>
      </x:c>
      <x:c r="D72" s="9" t="str">
        <x:v>Chain dmg: +{good:chain_damage_percent}%</x:v>
      </x:c>
    </x:row>
    <x:row r="73">
      <x:c r="A73" s="9" t="str">
        <x:v>item.book.electric</x:v>
      </x:c>
      <x:c r="B73" s="9" t="str">
        <x:v>en</x:v>
      </x:c>
      <x:c r="C73" s="9" t="n">
        <x:v>2</x:v>
      </x:c>
      <x:c r="D73" s="9" t="str">
        <x:v>Jump distance: +{good:max_jump_distance}</x:v>
      </x:c>
    </x:row>
    <x:row r="74">
      <x:c r="A74" s="9" t="str">
        <x:v>item.book.electric_poison</x:v>
      </x:c>
      <x:c r="B74" s="9" t="str">
        <x:v>en</x:v>
      </x:c>
      <x:c r="C74" s="9" t="n">
        <x:v>1</x:v>
      </x:c>
      <x:c r="D74" s="9" t="str">
        <x:v>Add the first combo value here</x:v>
      </x:c>
    </x:row>
    <x:row r="75">
      <x:c r="A75" s="9" t="str">
        <x:v>item.book.electric_poison</x:v>
      </x:c>
      <x:c r="B75" s="9" t="str">
        <x:v>en</x:v>
      </x:c>
      <x:c r="C75" s="9" t="n">
        <x:v>2</x:v>
      </x:c>
      <x:c r="D75" s="9" t="str">
        <x:v>Add the second combo value here</x:v>
      </x:c>
    </x:row>
    <x:row r="76">
      <x:c r="A76" s="9" t="str">
        <x:v>item.book.fire</x:v>
      </x:c>
      <x:c r="B76" s="9" t="str">
        <x:v>en</x:v>
      </x:c>
      <x:c r="C76" s="9" t="n">
        <x:v>1</x:v>
      </x:c>
      <x:c r="D76" s="9" t="str">
        <x:v>Dmg per tick: +{good:burn_damage}</x:v>
      </x:c>
    </x:row>
    <x:row r="77">
      <x:c r="A77" s="9" t="str">
        <x:v>item.book.fire</x:v>
      </x:c>
      <x:c r="B77" s="9" t="str">
        <x:v>en</x:v>
      </x:c>
      <x:c r="C77" s="9" t="n">
        <x:v>2</x:v>
      </x:c>
      <x:c r="D77" s="9" t="str">
        <x:v>Duration: +{good:burn_duration}s</x:v>
      </x:c>
    </x:row>
    <x:row r="78">
      <x:c r="A78" s="9" t="str">
        <x:v>item.book.fire_electric</x:v>
      </x:c>
      <x:c r="B78" s="9" t="str">
        <x:v>en</x:v>
      </x:c>
      <x:c r="C78" s="9" t="n">
        <x:v>1</x:v>
      </x:c>
      <x:c r="D78" s="9" t="str">
        <x:v>Dmg per fragment: +{good:fragment_damage_percent}%</x:v>
      </x:c>
    </x:row>
    <x:row r="79">
      <x:c r="A79" s="9" t="str">
        <x:v>item.book.fire_electric</x:v>
      </x:c>
      <x:c r="B79" s="9" t="str">
        <x:v>en</x:v>
      </x:c>
      <x:c r="C79" s="9" t="n">
        <x:v>2</x:v>
      </x:c>
      <x:c r="D79" s="9" t="str">
        <x:v>Range: +{good:fragment_range}</x:v>
      </x:c>
    </x:row>
    <x:row r="80">
      <x:c r="A80" s="9" t="str">
        <x:v>item.book.fire_ice</x:v>
      </x:c>
      <x:c r="B80" s="9" t="str">
        <x:v>en</x:v>
      </x:c>
      <x:c r="C80" s="9" t="n">
        <x:v>1</x:v>
      </x:c>
      <x:c r="D80" s="9" t="str">
        <x:v>Additional multiplier: +x{good:damage_multiplier}</x:v>
      </x:c>
    </x:row>
    <x:row r="81">
      <x:c r="A81" s="9" t="str">
        <x:v>item.book.fire_poison</x:v>
      </x:c>
      <x:c r="B81" s="9" t="str">
        <x:v>en</x:v>
      </x:c>
      <x:c r="C81" s="9" t="n">
        <x:v>1</x:v>
      </x:c>
      <x:c r="D81" s="9" t="str">
        <x:v>Cloud radius: +{good:cloud_radius}</x:v>
      </x:c>
    </x:row>
    <x:row r="82">
      <x:c r="A82" s="9" t="str">
        <x:v>item.book.fire_poison</x:v>
      </x:c>
      <x:c r="B82" s="9" t="str">
        <x:v>en</x:v>
      </x:c>
      <x:c r="C82" s="9" t="n">
        <x:v>2</x:v>
      </x:c>
      <x:c r="D82" s="9" t="str">
        <x:v>Duration: +{good:cloud_duration}s</x:v>
      </x:c>
    </x:row>
    <x:row r="83">
      <x:c r="A83" s="9" t="str">
        <x:v>item.book.ice</x:v>
      </x:c>
      <x:c r="B83" s="9" t="str">
        <x:v>en</x:v>
      </x:c>
      <x:c r="C83" s="9" t="n">
        <x:v>1</x:v>
      </x:c>
      <x:c r="D83" s="9" t="str">
        <x:v>Slow: +{good:slow_percent}%</x:v>
      </x:c>
    </x:row>
    <x:row r="84">
      <x:c r="A84" s="9" t="str">
        <x:v>item.book.ice</x:v>
      </x:c>
      <x:c r="B84" s="9" t="str">
        <x:v>en</x:v>
      </x:c>
      <x:c r="C84" s="9" t="n">
        <x:v>2</x:v>
      </x:c>
      <x:c r="D84" s="9" t="str">
        <x:v>Slow duration: +{good:slow_duration}s</x:v>
      </x:c>
    </x:row>
    <x:row r="85">
      <x:c r="A85" s="9" t="str">
        <x:v>item.book.ice</x:v>
      </x:c>
      <x:c r="B85" s="9" t="str">
        <x:v>en</x:v>
      </x:c>
      <x:c r="C85" s="9" t="n">
        <x:v>3</x:v>
      </x:c>
      <x:c r="D85" s="9" t="str">
        <x:v>Freeze duration: +{good:ice_duration}s</x:v>
      </x:c>
    </x:row>
    <x:row r="86">
      <x:c r="A86" s="9" t="str">
        <x:v>item.book.ice_electric</x:v>
      </x:c>
      <x:c r="B86" s="9" t="str">
        <x:v>en</x:v>
      </x:c>
      <x:c r="C86" s="9" t="n">
        <x:v>1</x:v>
      </x:c>
      <x:c r="D86" s="9" t="str">
        <x:v>Puddle size: +x{good:puddle_size_multiplier}</x:v>
      </x:c>
    </x:row>
    <x:row r="87">
      <x:c r="A87" s="9" t="str">
        <x:v>item.book.ice_electric</x:v>
      </x:c>
      <x:c r="B87" s="9" t="str">
        <x:v>en</x:v>
      </x:c>
      <x:c r="C87" s="9" t="n">
        <x:v>2</x:v>
      </x:c>
      <x:c r="D87" s="9" t="str">
        <x:v>Puddle duration: +{good:puddle_duration_bonus}s</x:v>
      </x:c>
    </x:row>
    <x:row r="88">
      <x:c r="A88" s="9" t="str">
        <x:v>item.book.ice_electric</x:v>
      </x:c>
      <x:c r="B88" s="9" t="str">
        <x:v>en</x:v>
      </x:c>
      <x:c r="C88" s="9" t="n">
        <x:v>3</x:v>
      </x:c>
      <x:c r="D88" s="9" t="str">
        <x:v>Electrified duration: +{good:electric_duration}s</x:v>
      </x:c>
    </x:row>
    <x:row r="89">
      <x:c r="A89" s="9" t="str">
        <x:v>item.book.ice_electric</x:v>
      </x:c>
      <x:c r="B89" s="9" t="str">
        <x:v>en</x:v>
      </x:c>
      <x:c r="C89" s="9" t="n">
        <x:v>4</x:v>
      </x:c>
      <x:c r="D89" s="9" t="str">
        <x:v>Dmg per tick: +{good:tick_damage}</x:v>
      </x:c>
    </x:row>
    <x:row r="90">
      <x:c r="A90" s="9" t="str">
        <x:v>item.book.ice_poison</x:v>
      </x:c>
      <x:c r="B90" s="9" t="str">
        <x:v>en</x:v>
      </x:c>
      <x:c r="C90" s="9" t="n">
        <x:v>1</x:v>
      </x:c>
      <x:c r="D90" s="9" t="str">
        <x:v>Fragility duration: +{good:fragile_duration}s</x:v>
      </x:c>
    </x:row>
    <x:row r="91">
      <x:c r="A91" s="9" t="str">
        <x:v>item.book.ice_poison</x:v>
      </x:c>
      <x:c r="B91" s="9" t="str">
        <x:v>en</x:v>
      </x:c>
      <x:c r="C91" s="9" t="n">
        <x:v>2</x:v>
      </x:c>
      <x:c r="D91" s="9" t="str">
        <x:v>Execution threshold per stack: +{good:execute_stack_percent}%</x:v>
      </x:c>
    </x:row>
    <x:row r="92">
      <x:c r="A92" s="9" t="str">
        <x:v>item.book.poison</x:v>
      </x:c>
      <x:c r="B92" s="9" t="str">
        <x:v>en</x:v>
      </x:c>
      <x:c r="C92" s="9" t="n">
        <x:v>1</x:v>
      </x:c>
      <x:c r="D92" s="9" t="str">
        <x:v>Dmg taken per stack: +{good:damage_received_percent}%</x:v>
      </x:c>
    </x:row>
    <x:row r="93">
      <x:c r="A93" s="9" t="str">
        <x:v>item.book.poison</x:v>
      </x:c>
      <x:c r="B93" s="9" t="str">
        <x:v>en</x:v>
      </x:c>
      <x:c r="C93" s="9" t="n">
        <x:v>2</x:v>
      </x:c>
      <x:c r="D93" s="9" t="str">
        <x:v>Duration against bosses: +{good:boss_duration}s</x:v>
      </x:c>
    </x:row>
    <x:row r="94">
      <x:c r="A94" s="9" t="str">
        <x:v>item.level.electric</x:v>
      </x:c>
      <x:c r="B94" s="9" t="str">
        <x:v>en</x:v>
      </x:c>
      <x:c r="C94" s="9" t="n">
        <x:v>1</x:v>
      </x:c>
      <x:c r="D94" s="9" t="str">
        <x:v>Chain dmg: {good:chain_damage_percent}%</x:v>
      </x:c>
    </x:row>
    <x:row r="95">
      <x:c r="A95" s="9" t="str">
        <x:v>item.level.electric</x:v>
      </x:c>
      <x:c r="B95" s="9" t="str">
        <x:v>en</x:v>
      </x:c>
      <x:c r="C95" s="9" t="n">
        <x:v>2</x:v>
      </x:c>
      <x:c r="D95" s="9" t="str">
        <x:v>Jump distance: {good:max_jump_distance}</x:v>
      </x:c>
    </x:row>
    <x:row r="96">
      <x:c r="A96" s="9" t="str">
        <x:v>item.level.fire</x:v>
      </x:c>
      <x:c r="B96" s="9" t="str">
        <x:v>en</x:v>
      </x:c>
      <x:c r="C96" s="9" t="n">
        <x:v>1</x:v>
      </x:c>
      <x:c r="D96" s="9" t="str">
        <x:v>Dmg per tick: {good:burn_damage}</x:v>
      </x:c>
    </x:row>
    <x:row r="97">
      <x:c r="A97" s="9" t="str">
        <x:v>item.level.fire</x:v>
      </x:c>
      <x:c r="B97" s="9" t="str">
        <x:v>en</x:v>
      </x:c>
      <x:c r="C97" s="9" t="n">
        <x:v>2</x:v>
      </x:c>
      <x:c r="D97" s="9" t="str">
        <x:v>Duration: {good:burn_duration}s</x:v>
      </x:c>
    </x:row>
    <x:row r="98">
      <x:c r="A98" s="9" t="str">
        <x:v>item.level.fire_electric</x:v>
      </x:c>
      <x:c r="B98" s="9" t="str">
        <x:v>en</x:v>
      </x:c>
      <x:c r="C98" s="9" t="n">
        <x:v>1</x:v>
      </x:c>
      <x:c r="D98" s="9" t="str">
        <x:v>Dmg per fragment: {good:fragment_damage_percent}%</x:v>
      </x:c>
    </x:row>
    <x:row r="99">
      <x:c r="A99" s="9" t="str">
        <x:v>item.level.fire_electric</x:v>
      </x:c>
      <x:c r="B99" s="9" t="str">
        <x:v>en</x:v>
      </x:c>
      <x:c r="C99" s="9" t="n">
        <x:v>2</x:v>
      </x:c>
      <x:c r="D99" s="9" t="str">
        <x:v>Range: {good:fragment_range}</x:v>
      </x:c>
    </x:row>
    <x:row r="100">
      <x:c r="A100" s="9" t="str">
        <x:v>item.level.fire_ice</x:v>
      </x:c>
      <x:c r="B100" s="9" t="str">
        <x:v>en</x:v>
      </x:c>
      <x:c r="C100" s="9" t="n">
        <x:v>1</x:v>
      </x:c>
      <x:c r="D100" s="9" t="str">
        <x:v>Additional multiplier: x{good:damage_multiplier}</x:v>
      </x:c>
    </x:row>
    <x:row r="101">
      <x:c r="A101" s="9" t="str">
        <x:v>item.level.fire_poison</x:v>
      </x:c>
      <x:c r="B101" s="9" t="str">
        <x:v>en</x:v>
      </x:c>
      <x:c r="C101" s="9" t="n">
        <x:v>1</x:v>
      </x:c>
      <x:c r="D101" s="9" t="str">
        <x:v>Cloud radius: {good:cloud_radius}</x:v>
      </x:c>
    </x:row>
    <x:row r="102">
      <x:c r="A102" s="9" t="str">
        <x:v>item.level.fire_poison</x:v>
      </x:c>
      <x:c r="B102" s="9" t="str">
        <x:v>en</x:v>
      </x:c>
      <x:c r="C102" s="9" t="n">
        <x:v>2</x:v>
      </x:c>
      <x:c r="D102" s="9" t="str">
        <x:v>Duration: {good:cloud_duration}s</x:v>
      </x:c>
    </x:row>
    <x:row r="103">
      <x:c r="A103" s="9" t="str">
        <x:v>item.level.ice</x:v>
      </x:c>
      <x:c r="B103" s="9" t="str">
        <x:v>en</x:v>
      </x:c>
      <x:c r="C103" s="9" t="n">
        <x:v>1</x:v>
      </x:c>
      <x:c r="D103" s="9" t="str">
        <x:v>Slow: {good:slow_percent}%</x:v>
      </x:c>
    </x:row>
    <x:row r="104">
      <x:c r="A104" s="9" t="str">
        <x:v>item.level.ice</x:v>
      </x:c>
      <x:c r="B104" s="9" t="str">
        <x:v>en</x:v>
      </x:c>
      <x:c r="C104" s="9" t="n">
        <x:v>2</x:v>
      </x:c>
      <x:c r="D104" s="9" t="str">
        <x:v>Slow duration: {good:slow_duration}s</x:v>
      </x:c>
    </x:row>
    <x:row r="105">
      <x:c r="A105" s="9" t="str">
        <x:v>item.level.ice</x:v>
      </x:c>
      <x:c r="B105" s="9" t="str">
        <x:v>en</x:v>
      </x:c>
      <x:c r="C105" s="9" t="n">
        <x:v>3</x:v>
      </x:c>
      <x:c r="D105" s="9" t="str">
        <x:v>Freeze duration: {good:ice_duration}s</x:v>
      </x:c>
    </x:row>
    <x:row r="106">
      <x:c r="A106" s="9" t="str">
        <x:v>item.level.ice_electric</x:v>
      </x:c>
      <x:c r="B106" s="9" t="str">
        <x:v>en</x:v>
      </x:c>
      <x:c r="C106" s="9" t="n">
        <x:v>1</x:v>
      </x:c>
      <x:c r="D106" s="9" t="str">
        <x:v>Puddle size: x{good:puddle_size_multiplier}</x:v>
      </x:c>
    </x:row>
    <x:row r="107">
      <x:c r="A107" s="9" t="str">
        <x:v>item.level.ice_electric</x:v>
      </x:c>
      <x:c r="B107" s="9" t="str">
        <x:v>en</x:v>
      </x:c>
      <x:c r="C107" s="9" t="n">
        <x:v>2</x:v>
      </x:c>
      <x:c r="D107" s="9" t="str">
        <x:v>Puddle duration: {good:puddle_duration_bonus}s</x:v>
      </x:c>
    </x:row>
    <x:row r="108">
      <x:c r="A108" s="9" t="str">
        <x:v>item.level.ice_electric</x:v>
      </x:c>
      <x:c r="B108" s="9" t="str">
        <x:v>en</x:v>
      </x:c>
      <x:c r="C108" s="9" t="n">
        <x:v>3</x:v>
      </x:c>
      <x:c r="D108" s="9" t="str">
        <x:v>Electrified duration: {good:electric_duration}s</x:v>
      </x:c>
    </x:row>
    <x:row r="109">
      <x:c r="A109" s="9" t="str">
        <x:v>item.level.ice_electric</x:v>
      </x:c>
      <x:c r="B109" s="9" t="str">
        <x:v>en</x:v>
      </x:c>
      <x:c r="C109" s="9" t="n">
        <x:v>4</x:v>
      </x:c>
      <x:c r="D109" s="9" t="str">
        <x:v>Dmg per tick: {good:tick_damage}</x:v>
      </x:c>
    </x:row>
    <x:row r="110">
      <x:c r="A110" s="9" t="str">
        <x:v>item.level.ice_poison</x:v>
      </x:c>
      <x:c r="B110" s="9" t="str">
        <x:v>en</x:v>
      </x:c>
      <x:c r="C110" s="9" t="n">
        <x:v>1</x:v>
      </x:c>
      <x:c r="D110" s="9" t="str">
        <x:v>Fragility duration: {good:fragile_duration}s</x:v>
      </x:c>
    </x:row>
    <x:row r="111">
      <x:c r="A111" s="9" t="str">
        <x:v>item.level.ice_poison</x:v>
      </x:c>
      <x:c r="B111" s="9" t="str">
        <x:v>en</x:v>
      </x:c>
      <x:c r="C111" s="9" t="n">
        <x:v>2</x:v>
      </x:c>
      <x:c r="D111" s="9" t="str">
        <x:v>Base execution threshold: {good:execute_base_percent}%</x:v>
      </x:c>
    </x:row>
    <x:row r="112">
      <x:c r="A112" s="9" t="str">
        <x:v>item.level.ice_poison</x:v>
      </x:c>
      <x:c r="B112" s="9" t="str">
        <x:v>en</x:v>
      </x:c>
      <x:c r="C112" s="9" t="n">
        <x:v>3</x:v>
      </x:c>
      <x:c r="D112" s="9" t="str">
        <x:v>Execution threshold per stack: {good:execute_stack_percent}%</x:v>
      </x:c>
    </x:row>
    <x:row r="113">
      <x:c r="A113" s="9" t="str">
        <x:v>item.level.poison</x:v>
      </x:c>
      <x:c r="B113" s="9" t="str">
        <x:v>en</x:v>
      </x:c>
      <x:c r="C113" s="9" t="n">
        <x:v>1</x:v>
      </x:c>
      <x:c r="D113" s="9" t="str">
        <x:v>Dmg taken per stack: {good:damage_received_percent}%</x:v>
      </x:c>
    </x:row>
    <x:row r="114">
      <x:c r="A114" s="9" t="str">
        <x:v>item.level.poison</x:v>
      </x:c>
      <x:c r="B114" s="9" t="str">
        <x:v>en</x:v>
      </x:c>
      <x:c r="C114" s="9" t="n">
        <x:v>2</x:v>
      </x:c>
      <x:c r="D114" s="9" t="str">
        <x:v>Duration against bosses: {good:boss_duration}s</x:v>
      </x:c>
    </x:row>
    <x:row r="115">
      <x:c r="A115" s="9" t="str">
        <x:v>item.potion.body_damage</x:v>
      </x:c>
      <x:c r="B115" s="9" t="str">
        <x:v>en</x:v>
      </x:c>
      <x:c r="C115" s="9" t="n">
        <x:v>1</x:v>
      </x:c>
      <x:c r="D115" s="9" t="str">
        <x:v>+{amount} contact dmg</x:v>
      </x:c>
    </x:row>
    <x:row r="116">
      <x:c r="A116" s="9" t="str">
        <x:v>item.potion.damage</x:v>
      </x:c>
      <x:c r="B116" s="9" t="str">
        <x:v>en</x:v>
      </x:c>
      <x:c r="C116" s="9" t="n">
        <x:v>1</x:v>
      </x:c>
      <x:c r="D116" s="9" t="str">
        <x:v>+{amount} shot dmg</x:v>
      </x:c>
    </x:row>
    <x:row r="117">
      <x:c r="A117" s="9" t="str">
        <x:v>item.potion.health</x:v>
      </x:c>
      <x:c r="B117" s="9" t="str">
        <x:v>en</x:v>
      </x:c>
      <x:c r="C117" s="9" t="n">
        <x:v>1</x:v>
      </x:c>
      <x:c r="D117" s="9" t="str">
        <x:v>Restores all your health</x:v>
      </x:c>
    </x:row>
    <x:row r="118">
      <x:c r="A118" s="9" t="str">
        <x:v>item.potion.luck</x:v>
      </x:c>
      <x:c r="B118" s="9" t="str">
        <x:v>en</x:v>
      </x:c>
      <x:c r="C118" s="9" t="n">
        <x:v>1</x:v>
      </x:c>
      <x:c r="D118" s="9" t="str">
        <x:v>+{amount} luck</x:v>
      </x:c>
    </x:row>
    <x:row r="119">
      <x:c r="A119" s="9" t="str">
        <x:v>item.potion.shoot_distance</x:v>
      </x:c>
      <x:c r="B119" s="9" t="str">
        <x:v>en</x:v>
      </x:c>
      <x:c r="C119" s="9" t="n">
        <x:v>1</x:v>
      </x:c>
      <x:c r="D119" s="9" t="str">
        <x:v>+{amount} shot range</x:v>
      </x:c>
    </x:row>
    <x:row r="120">
      <x:c r="A120" s="9" t="str">
        <x:v>item.potion.speed</x:v>
      </x:c>
      <x:c r="B120" s="9" t="str">
        <x:v>en</x:v>
      </x:c>
      <x:c r="C120" s="9" t="n">
        <x:v>1</x:v>
      </x:c>
      <x:c r="D120" s="9" t="str">
        <x:v>+{amount} movement speed</x:v>
      </x:c>
    </x:row>
    <x:row r="121">
      <x:c r="A121" s="9" t="str">
        <x:v>item.potion.speed_atack</x:v>
      </x:c>
      <x:c r="B121" s="9" t="str">
        <x:v>en</x:v>
      </x:c>
      <x:c r="C121" s="9" t="n">
        <x:v>1</x:v>
      </x:c>
      <x:c r="D121" s="9" t="str">
        <x:v>{good:amount}s between shots</x:v>
      </x:c>
    </x:row>
    <x:row r="122">
      <x:c r="A122" s="9" t="str">
        <x:v>item.power.big_bullets</x:v>
      </x:c>
      <x:c r="B122" s="9" t="str">
        <x:v>en</x:v>
      </x:c>
      <x:c r="C122" s="9" t="n">
        <x:v>1</x:v>
      </x:c>
      <x:c r="D122" s="9" t="str">
        <x:v>Size: x{good:radius_multiplier}</x:v>
      </x:c>
    </x:row>
    <x:row r="123">
      <x:c r="A123" s="9" t="str">
        <x:v>item.power.double_shot</x:v>
      </x:c>
      <x:c r="B123" s="9" t="str">
        <x:v>en</x:v>
      </x:c>
      <x:c r="C123" s="9" t="n">
        <x:v>1</x:v>
      </x:c>
      <x:c r="D123" s="9" t="str">
        <x:v>Projectiles: {good:parallel_count}</x:v>
      </x:c>
    </x:row>
    <x:row r="124">
      <x:c r="A124" s="9" t="str">
        <x:v>item.power.double_shot</x:v>
      </x:c>
      <x:c r="B124" s="9" t="str">
        <x:v>en</x:v>
      </x:c>
      <x:c r="C124" s="9" t="n">
        <x:v>2</x:v>
      </x:c>
      <x:c r="D124" s="9" t="str">
        <x:v>Spacing: {good:parallel_spacing}</x:v>
      </x:c>
    </x:row>
    <x:row r="125">
      <x:c r="A125" s="9" t="str">
        <x:v>item.power.electric</x:v>
      </x:c>
      <x:c r="B125" s="9" t="str">
        <x:v>en</x:v>
      </x:c>
      <x:c r="C125" s="9" t="n">
        <x:v>1</x:v>
      </x:c>
      <x:c r="D125" s="9" t="str">
        <x:v>{chance_percent} chance to apply electricity</x:v>
      </x:c>
    </x:row>
    <x:row r="126">
      <x:c r="A126" s="9" t="str">
        <x:v>item.power.fire</x:v>
      </x:c>
      <x:c r="B126" s="9" t="str">
        <x:v>en</x:v>
      </x:c>
      <x:c r="C126" s="9" t="n">
        <x:v>1</x:v>
      </x:c>
      <x:c r="D126" s="9" t="str">
        <x:v>Sets fire as your main element</x:v>
      </x:c>
    </x:row>
    <x:row r="127">
      <x:c r="A127" s="9" t="str">
        <x:v>item.power.ice</x:v>
      </x:c>
      <x:c r="B127" s="9" t="str">
        <x:v>en</x:v>
      </x:c>
      <x:c r="C127" s="9" t="n">
        <x:v>1</x:v>
      </x:c>
      <x:c r="D127" s="9" t="str">
        <x:v>{chance_percent} chance to apply ice</x:v>
      </x:c>
    </x:row>
    <x:row r="128">
      <x:c r="A128" s="9" t="str">
        <x:v>item.power.poison</x:v>
      </x:c>
      <x:c r="B128" s="9" t="str">
        <x:v>en</x:v>
      </x:c>
      <x:c r="C128" s="9" t="n">
        <x:v>1</x:v>
      </x:c>
      <x:c r="D128" s="9" t="str">
        <x:v>{chance_percent} chance to apply poison</x:v>
      </x:c>
    </x:row>
    <x:row r="129">
      <x:c r="A129" s="9" t="str">
        <x:v>item.power.rear_shot</x:v>
      </x:c>
      <x:c r="B129" s="9" t="str">
        <x:v>en</x:v>
      </x:c>
      <x:c r="C129" s="9" t="n">
        <x:v>1</x:v>
      </x:c>
      <x:c r="D129" s="9" t="str">
        <x:v>Rear volley: {good:rear_shot}</x:v>
      </x:c>
    </x:row>
    <x:row r="130">
      <x:c r="A130" s="9" t="str">
        <x:v>item.power.triple_shot</x:v>
      </x:c>
      <x:c r="B130" s="9" t="str">
        <x:v>en</x:v>
      </x:c>
      <x:c r="C130" s="9" t="n">
        <x:v>1</x:v>
      </x:c>
      <x:c r="D130" s="9" t="str">
        <x:v>Projectiles: {good:fan_count}</x:v>
      </x:c>
    </x:row>
    <x:row r="131">
      <x:c r="A131" s="9" t="str">
        <x:v>item.power.triple_shot</x:v>
      </x:c>
      <x:c r="B131" s="9" t="str">
        <x:v>en</x:v>
      </x:c>
      <x:c r="C131" s="9" t="n">
        <x:v>2</x:v>
      </x:c>
      <x:c r="D131" s="9" t="str">
        <x:v>Angle: {good:fan_angle}°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0" hidden="0" customWidth="1"/>
    <x:col min="3" max="3" width="14" hidden="0" customWidth="1"/>
    <x:col min="4" max="4" width="13" hidden="0" customWidth="1"/>
    <x:col min="5" max="5" width="14" hidden="0" customWidth="1"/>
    <x:col min="6" max="6" width="22" hidden="0" customWidth="1"/>
    <x:col min="7" max="7" width="14" hidden="0" customWidth="1"/>
    <x:col min="8" max="8" width="34" hidden="0" customWidth="1"/>
  </x:cols>
  <x:sheetData>
    <x:row r="1" ht="24" customHeight="1">
      <x:c r="A1" s="8" t="str">
        <x:v>path</x:v>
      </x:c>
      <x:c r="B1" s="8" t="str">
        <x:v>filename</x:v>
      </x:c>
      <x:c r="C1" s="8" t="str">
        <x:v>folder</x:v>
      </x:c>
      <x:c r="D1" s="8" t="str">
        <x:v>status</x:v>
      </x:c>
      <x:c r="E1" s="8" t="str">
        <x:v>owner_type</x:v>
      </x:c>
      <x:c r="F1" s="8" t="str">
        <x:v>owner_id</x:v>
      </x:c>
      <x:c r="G1" s="8" t="str">
        <x:v>size_bytes</x:v>
      </x:c>
      <x:c r="H1" s="8" t="str">
        <x:v>notes</x:v>
      </x:c>
    </x:row>
    <x:row r="2">
      <x:c r="A2" s="9" t="str">
        <x:v>images/potions/base.bmp</x:v>
      </x:c>
      <x:c r="B2" s="9" t="str">
        <x:v>base.bmp</x:v>
      </x:c>
      <x:c r="C2" s="9" t="str">
        <x:v>potions</x:v>
      </x:c>
      <x:c r="D2" s="9" t="str">
        <x:v>orphan</x:v>
      </x:c>
      <x:c r="E2" s="9" t="str"/>
      <x:c r="F2" s="9" t="str"/>
      <x:c r="G2" s="15" t="n">
        <x:v>630</x:v>
      </x:c>
      <x:c r="H2" s="9" t="str">
        <x:v>Asset sin fila en Items</x:v>
      </x:c>
    </x:row>
    <x:row r="3">
      <x:c r="A3" s="9" t="str">
        <x:v>images/potions/damage.bmp</x:v>
      </x:c>
      <x:c r="B3" s="9" t="str">
        <x:v>damage.bmp</x:v>
      </x:c>
      <x:c r="C3" s="9" t="str">
        <x:v>potions</x:v>
      </x:c>
      <x:c r="D3" s="9" t="str">
        <x:v>orphan</x:v>
      </x:c>
      <x:c r="E3" s="9" t="str"/>
      <x:c r="F3" s="9" t="str"/>
      <x:c r="G3" s="15" t="n">
        <x:v>630</x:v>
      </x:c>
      <x:c r="H3" s="9" t="str">
        <x:v>Asset sin fila en Items</x:v>
      </x:c>
    </x:row>
    <x:row r="4">
      <x:c r="A4" s="9" t="str">
        <x:v>images/potions/empty.bmp</x:v>
      </x:c>
      <x:c r="B4" s="9" t="str">
        <x:v>empty.bmp</x:v>
      </x:c>
      <x:c r="C4" s="9" t="str">
        <x:v>potions</x:v>
      </x:c>
      <x:c r="D4" s="9" t="str">
        <x:v>orphan</x:v>
      </x:c>
      <x:c r="E4" s="9" t="str"/>
      <x:c r="F4" s="9" t="str"/>
      <x:c r="G4" s="15" t="n">
        <x:v>630</x:v>
      </x:c>
      <x:c r="H4" s="9" t="str">
        <x:v>Asset sin fila en Items</x:v>
      </x:c>
    </x:row>
    <x:row r="5">
      <x:c r="A5" s="9" t="str">
        <x:v>images/potions/potion_body_damage.bmp</x:v>
      </x:c>
      <x:c r="B5" s="9" t="str">
        <x:v>potion_body_damage.bmp</x:v>
      </x:c>
      <x:c r="C5" s="9" t="str">
        <x:v>potions</x:v>
      </x:c>
      <x:c r="D5" s="9" t="str">
        <x:v>used</x:v>
      </x:c>
      <x:c r="E5" s="9" t="str">
        <x:v>potion</x:v>
      </x:c>
      <x:c r="F5" s="9" t="str">
        <x:v>body_damage</x:v>
      </x:c>
      <x:c r="G5" s="15" t="n">
        <x:v>630</x:v>
      </x:c>
      <x:c r="H5" s="9" t="str"/>
    </x:row>
    <x:row r="6">
      <x:c r="A6" s="9" t="str">
        <x:v>images/potions/potion_damage.bmp</x:v>
      </x:c>
      <x:c r="B6" s="9" t="str">
        <x:v>potion_damage.bmp</x:v>
      </x:c>
      <x:c r="C6" s="9" t="str">
        <x:v>potions</x:v>
      </x:c>
      <x:c r="D6" s="9" t="str">
        <x:v>used</x:v>
      </x:c>
      <x:c r="E6" s="9" t="str">
        <x:v>potion</x:v>
      </x:c>
      <x:c r="F6" s="9" t="str">
        <x:v>damage</x:v>
      </x:c>
      <x:c r="G6" s="15" t="n">
        <x:v>630</x:v>
      </x:c>
      <x:c r="H6" s="9" t="str"/>
    </x:row>
    <x:row r="7">
      <x:c r="A7" s="9" t="str">
        <x:v>images/potions/potion_health.bmp</x:v>
      </x:c>
      <x:c r="B7" s="9" t="str">
        <x:v>potion_health.bmp</x:v>
      </x:c>
      <x:c r="C7" s="9" t="str">
        <x:v>potions</x:v>
      </x:c>
      <x:c r="D7" s="9" t="str">
        <x:v>used</x:v>
      </x:c>
      <x:c r="E7" s="9" t="str">
        <x:v>potion</x:v>
      </x:c>
      <x:c r="F7" s="9" t="str">
        <x:v>health</x:v>
      </x:c>
      <x:c r="G7" s="15" t="n">
        <x:v>630</x:v>
      </x:c>
      <x:c r="H7" s="9" t="str"/>
    </x:row>
    <x:row r="8">
      <x:c r="A8" s="9" t="str">
        <x:v>images/potions/potion_shoot_distance.bmp</x:v>
      </x:c>
      <x:c r="B8" s="9" t="str">
        <x:v>potion_shoot_distance.bmp</x:v>
      </x:c>
      <x:c r="C8" s="9" t="str">
        <x:v>potions</x:v>
      </x:c>
      <x:c r="D8" s="9" t="str">
        <x:v>used</x:v>
      </x:c>
      <x:c r="E8" s="9" t="str">
        <x:v>potion</x:v>
      </x:c>
      <x:c r="F8" s="9" t="str">
        <x:v>shoot_distance</x:v>
      </x:c>
      <x:c r="G8" s="15" t="n">
        <x:v>630</x:v>
      </x:c>
      <x:c r="H8" s="9" t="str"/>
    </x:row>
    <x:row r="9">
      <x:c r="A9" s="9" t="str">
        <x:v>images/potions/potion_speed.bmp</x:v>
      </x:c>
      <x:c r="B9" s="9" t="str">
        <x:v>potion_speed.bmp</x:v>
      </x:c>
      <x:c r="C9" s="9" t="str">
        <x:v>potions</x:v>
      </x:c>
      <x:c r="D9" s="9" t="str">
        <x:v>used</x:v>
      </x:c>
      <x:c r="E9" s="9" t="str">
        <x:v>potion</x:v>
      </x:c>
      <x:c r="F9" s="9" t="str">
        <x:v>speed</x:v>
      </x:c>
      <x:c r="G9" s="15" t="n">
        <x:v>630</x:v>
      </x:c>
      <x:c r="H9" s="9" t="str"/>
    </x:row>
    <x:row r="10">
      <x:c r="A10" s="9" t="str">
        <x:v>images/potions/potion_speed_atack.bmp</x:v>
      </x:c>
      <x:c r="B10" s="9" t="str">
        <x:v>potion_speed_atack.bmp</x:v>
      </x:c>
      <x:c r="C10" s="9" t="str">
        <x:v>potions</x:v>
      </x:c>
      <x:c r="D10" s="9" t="str">
        <x:v>used</x:v>
      </x:c>
      <x:c r="E10" s="9" t="str">
        <x:v>potion</x:v>
      </x:c>
      <x:c r="F10" s="9" t="str">
        <x:v>speed_atack</x:v>
      </x:c>
      <x:c r="G10" s="15" t="n">
        <x:v>630</x:v>
      </x:c>
      <x:c r="H10" s="9" t="str"/>
    </x:row>
    <x:row r="11">
      <x:c r="A11" s="9" t="str">
        <x:v>images/potions/_potion_luck.bmp</x:v>
      </x:c>
      <x:c r="B11" s="9" t="str">
        <x:v>_potion_luck.bmp</x:v>
      </x:c>
      <x:c r="C11" s="9" t="str">
        <x:v>potions</x:v>
      </x:c>
      <x:c r="D11" s="9" t="str">
        <x:v>draft</x:v>
      </x:c>
      <x:c r="E11" s="9" t="str">
        <x:v>potion</x:v>
      </x:c>
      <x:c r="F11" s="9" t="str">
        <x:v>luck</x:v>
      </x:c>
      <x:c r="G11" s="15" t="n">
        <x:v>630</x:v>
      </x:c>
      <x:c r="H11" s="9" t="str"/>
    </x:row>
    <x:row r="12">
      <x:c r="A12" s="9" t="str">
        <x:v>images/powers/power_fire.bmp</x:v>
      </x:c>
      <x:c r="B12" s="9" t="str">
        <x:v>power_fire.bmp</x:v>
      </x:c>
      <x:c r="C12" s="9" t="str">
        <x:v>powers</x:v>
      </x:c>
      <x:c r="D12" s="9" t="str">
        <x:v>used</x:v>
      </x:c>
      <x:c r="E12" s="9" t="str">
        <x:v>power</x:v>
      </x:c>
      <x:c r="F12" s="9" t="str">
        <x:v>fire</x:v>
      </x:c>
      <x:c r="G12" s="15" t="n">
        <x:v>630</x:v>
      </x:c>
      <x:c r="H12" s="9" t="str"/>
    </x:row>
    <x:row r="13">
      <x:c r="A13" s="9" t="str">
        <x:v>images/powers/power_ice.bmp</x:v>
      </x:c>
      <x:c r="B13" s="9" t="str">
        <x:v>power_ice.bmp</x:v>
      </x:c>
      <x:c r="C13" s="9" t="str">
        <x:v>powers</x:v>
      </x:c>
      <x:c r="D13" s="9" t="str">
        <x:v>used</x:v>
      </x:c>
      <x:c r="E13" s="9" t="str">
        <x:v>power</x:v>
      </x:c>
      <x:c r="F13" s="9" t="str">
        <x:v>ice</x:v>
      </x:c>
      <x:c r="G13" s="15" t="n">
        <x:v>3126</x:v>
      </x:c>
      <x:c r="H13" s="9" t="str"/>
    </x:row>
    <x:row r="14">
      <x:c r="A14" s="9" t="str">
        <x:v>images/powers/power_electric.bmp</x:v>
      </x:c>
      <x:c r="B14" s="9" t="str">
        <x:v>power_electric.bmp</x:v>
      </x:c>
      <x:c r="C14" s="9" t="str">
        <x:v>powers</x:v>
      </x:c>
      <x:c r="D14" s="9" t="str">
        <x:v>used</x:v>
      </x:c>
      <x:c r="E14" s="9" t="str">
        <x:v>power</x:v>
      </x:c>
      <x:c r="F14" s="9" t="str">
        <x:v>electric</x:v>
      </x:c>
      <x:c r="G14" s="15" t="n">
        <x:v>3126</x:v>
      </x:c>
      <x:c r="H14" s="9" t="str"/>
    </x:row>
    <x:row r="15">
      <x:c r="A15" s="9" t="str">
        <x:v>images/powers/power_poison.bmp</x:v>
      </x:c>
      <x:c r="B15" s="9" t="str">
        <x:v>power_poison.bmp</x:v>
      </x:c>
      <x:c r="C15" s="9" t="str">
        <x:v>powers</x:v>
      </x:c>
      <x:c r="D15" s="9" t="str">
        <x:v>used</x:v>
      </x:c>
      <x:c r="E15" s="9" t="str">
        <x:v>power</x:v>
      </x:c>
      <x:c r="F15" s="9" t="str">
        <x:v>poison</x:v>
      </x:c>
      <x:c r="G15" s="15" t="n">
        <x:v>3126</x:v>
      </x:c>
      <x:c r="H15" s="9" t="str"/>
    </x:row>
    <x:row r="16">
      <x:c r="A16" s="9" t="str">
        <x:v>images/powers/power_triple_shot.bmp</x:v>
      </x:c>
      <x:c r="B16" s="9" t="str">
        <x:v>power_triple_shot.bmp</x:v>
      </x:c>
      <x:c r="C16" s="9" t="str">
        <x:v>powers</x:v>
      </x:c>
      <x:c r="D16" s="9" t="str">
        <x:v>used</x:v>
      </x:c>
      <x:c r="E16" s="9" t="str">
        <x:v>power</x:v>
      </x:c>
      <x:c r="F16" s="9" t="str">
        <x:v>triple_shot</x:v>
      </x:c>
      <x:c r="G16" s="15" t="n">
        <x:v>3126</x:v>
      </x:c>
      <x:c r="H16" s="9" t="str"/>
    </x:row>
    <x:row r="17">
      <x:c r="A17" s="9" t="str">
        <x:v>images/powers/power_double_shot.bmp</x:v>
      </x:c>
      <x:c r="B17" s="9" t="str">
        <x:v>power_double_shot.bmp</x:v>
      </x:c>
      <x:c r="C17" s="9" t="str">
        <x:v>powers</x:v>
      </x:c>
      <x:c r="D17" s="9" t="str">
        <x:v>used</x:v>
      </x:c>
      <x:c r="E17" s="9" t="str">
        <x:v>power</x:v>
      </x:c>
      <x:c r="F17" s="9" t="str">
        <x:v>double_shot</x:v>
      </x:c>
      <x:c r="G17" s="15" t="n">
        <x:v>3126</x:v>
      </x:c>
      <x:c r="H17" s="9" t="str"/>
    </x:row>
    <x:row r="18">
      <x:c r="A18" s="9" t="str">
        <x:v>images/powers/power_big_bullets.bmp</x:v>
      </x:c>
      <x:c r="B18" s="9" t="str">
        <x:v>power_big_bullets.bmp</x:v>
      </x:c>
      <x:c r="C18" s="9" t="str">
        <x:v>powers</x:v>
      </x:c>
      <x:c r="D18" s="9" t="str">
        <x:v>used</x:v>
      </x:c>
      <x:c r="E18" s="9" t="str">
        <x:v>power</x:v>
      </x:c>
      <x:c r="F18" s="9" t="str">
        <x:v>big_bullets</x:v>
      </x:c>
      <x:c r="G18" s="15" t="n">
        <x:v>3126</x:v>
      </x:c>
      <x:c r="H18" s="9" t="str"/>
    </x:row>
    <x:row r="19">
      <x:c r="A19" s="9" t="str">
        <x:v>images/powers/power_rear_shot.bmp</x:v>
      </x:c>
      <x:c r="B19" s="9" t="str">
        <x:v>power_rear_shot.bmp</x:v>
      </x:c>
      <x:c r="C19" s="9" t="str">
        <x:v>powers</x:v>
      </x:c>
      <x:c r="D19" s="9" t="str">
        <x:v>used</x:v>
      </x:c>
      <x:c r="E19" s="9" t="str">
        <x:v>power</x:v>
      </x:c>
      <x:c r="F19" s="9" t="str">
        <x:v>rear_shot</x:v>
      </x:c>
      <x:c r="G19" s="15" t="n">
        <x:v>3126</x:v>
      </x:c>
      <x:c r="H19" s="9" t="str"/>
    </x:row>
    <x:row r="20">
      <x:c r="A20" s="9" t="str">
        <x:v>images/books/book_fire.bmp</x:v>
      </x:c>
      <x:c r="B20" s="9" t="str">
        <x:v>book_fire.bmp</x:v>
      </x:c>
      <x:c r="C20" s="9" t="str">
        <x:v>books</x:v>
      </x:c>
      <x:c r="D20" s="9" t="str">
        <x:v>used</x:v>
      </x:c>
      <x:c r="E20" s="9" t="str">
        <x:v>book</x:v>
      </x:c>
      <x:c r="F20" s="9" t="str">
        <x:v>fire</x:v>
      </x:c>
      <x:c r="G20" s="15" t="n">
        <x:v>630</x:v>
      </x:c>
      <x:c r="H20" s="9" t="str"/>
    </x:row>
    <x:row r="21">
      <x:c r="A21" s="9" t="str">
        <x:v>images/books/book_fire_ice.bmp</x:v>
      </x:c>
      <x:c r="B21" s="9" t="str">
        <x:v>book_fire_ice.bmp</x:v>
      </x:c>
      <x:c r="C21" s="9" t="str">
        <x:v>books</x:v>
      </x:c>
      <x:c r="D21" s="9" t="str">
        <x:v>used</x:v>
      </x:c>
      <x:c r="E21" s="9" t="str">
        <x:v>book</x:v>
      </x:c>
      <x:c r="F21" s="9" t="str">
        <x:v>fire_ice</x:v>
      </x:c>
      <x:c r="G21" s="15" t="n">
        <x:v>630</x:v>
      </x:c>
      <x:c r="H21" s="9" t="str"/>
    </x:row>
    <x:row r="22">
      <x:c r="A22" s="9" t="str">
        <x:v>images/books/book_ice.bmp</x:v>
      </x:c>
      <x:c r="B22" s="9" t="str">
        <x:v>book_ice.bmp</x:v>
      </x:c>
      <x:c r="C22" s="9" t="str">
        <x:v>books</x:v>
      </x:c>
      <x:c r="D22" s="9" t="str">
        <x:v>used</x:v>
      </x:c>
      <x:c r="E22" s="9" t="str">
        <x:v>book</x:v>
      </x:c>
      <x:c r="F22" s="9" t="str">
        <x:v>ice</x:v>
      </x:c>
      <x:c r="G22" s="15" t="n">
        <x:v>630</x:v>
      </x:c>
      <x:c r="H22" s="9" t="str"/>
    </x:row>
    <x:row r="23">
      <x:c r="A23" s="9" t="str">
        <x:v>images/books/book_electric.bmp</x:v>
      </x:c>
      <x:c r="B23" s="9" t="str">
        <x:v>book_electric.bmp</x:v>
      </x:c>
      <x:c r="C23" s="9" t="str">
        <x:v>books</x:v>
      </x:c>
      <x:c r="D23" s="9" t="str">
        <x:v>used</x:v>
      </x:c>
      <x:c r="E23" s="9" t="str">
        <x:v>book</x:v>
      </x:c>
      <x:c r="F23" s="9" t="str">
        <x:v>electric</x:v>
      </x:c>
      <x:c r="G23" s="15" t="n">
        <x:v>630</x:v>
      </x:c>
      <x:c r="H23" s="9" t="str"/>
    </x:row>
    <x:row r="24">
      <x:c r="A24" s="9" t="str">
        <x:v>images/books/book_fire_electric.bmp</x:v>
      </x:c>
      <x:c r="B24" s="9" t="str">
        <x:v>book_fire_electric.bmp</x:v>
      </x:c>
      <x:c r="C24" s="9" t="str">
        <x:v>books</x:v>
      </x:c>
      <x:c r="D24" s="9" t="str">
        <x:v>used</x:v>
      </x:c>
      <x:c r="E24" s="9" t="str">
        <x:v>book</x:v>
      </x:c>
      <x:c r="F24" s="9" t="str">
        <x:v>fire_electric</x:v>
      </x:c>
      <x:c r="G24" s="15" t="n">
        <x:v>630</x:v>
      </x:c>
      <x:c r="H24" s="9" t="str"/>
    </x:row>
    <x:row r="25">
      <x:c r="A25" s="9" t="str">
        <x:v>images/books/book_fire_poison.bmp</x:v>
      </x:c>
      <x:c r="B25" s="9" t="str">
        <x:v>book_fire_poison.bmp</x:v>
      </x:c>
      <x:c r="C25" s="9" t="str">
        <x:v>books</x:v>
      </x:c>
      <x:c r="D25" s="9" t="str">
        <x:v>used</x:v>
      </x:c>
      <x:c r="E25" s="9" t="str">
        <x:v>book</x:v>
      </x:c>
      <x:c r="F25" s="9" t="str">
        <x:v>fire_poison</x:v>
      </x:c>
      <x:c r="G25" s="15" t="n">
        <x:v>630</x:v>
      </x:c>
      <x:c r="H25" s="9" t="str"/>
    </x:row>
    <x:row r="26">
      <x:c r="A26" s="9" t="str">
        <x:v>images/books/book_ice_electric.bmp</x:v>
      </x:c>
      <x:c r="B26" s="9" t="str">
        <x:v>book_ice_electric.bmp</x:v>
      </x:c>
      <x:c r="C26" s="9" t="str">
        <x:v>books</x:v>
      </x:c>
      <x:c r="D26" s="9" t="str">
        <x:v>used</x:v>
      </x:c>
      <x:c r="E26" s="9" t="str">
        <x:v>book</x:v>
      </x:c>
      <x:c r="F26" s="9" t="str">
        <x:v>ice_electric</x:v>
      </x:c>
      <x:c r="G26" s="15" t="n">
        <x:v>630</x:v>
      </x:c>
      <x:c r="H26" s="9" t="str"/>
    </x:row>
    <x:row r="27">
      <x:c r="A27" s="9" t="str">
        <x:v>images/books/_book_poison_electric.bmp</x:v>
      </x:c>
      <x:c r="B27" s="9" t="str">
        <x:v>_book_poison_electric.bmp</x:v>
      </x:c>
      <x:c r="C27" s="9" t="str">
        <x:v>books</x:v>
      </x:c>
      <x:c r="D27" s="9" t="str">
        <x:v>draft</x:v>
      </x:c>
      <x:c r="E27" s="9" t="str">
        <x:v>book</x:v>
      </x:c>
      <x:c r="F27" s="9" t="str">
        <x:v>electric_poison</x:v>
      </x:c>
      <x:c r="G27" s="15" t="n">
        <x:v>630</x:v>
      </x:c>
      <x:c r="H27" s="9" t="str"/>
    </x:row>
    <x:row r="28">
      <x:c r="A28" s="9" t="str">
        <x:v>images/books/book_ice_poison.bmp</x:v>
      </x:c>
      <x:c r="B28" s="9" t="str">
        <x:v>book_ice_poison.bmp</x:v>
      </x:c>
      <x:c r="C28" s="9" t="str">
        <x:v>books</x:v>
      </x:c>
      <x:c r="D28" s="9" t="str">
        <x:v>used</x:v>
      </x:c>
      <x:c r="E28" s="9" t="str">
        <x:v>book</x:v>
      </x:c>
      <x:c r="F28" s="9" t="str">
        <x:v>ice_poison</x:v>
      </x:c>
      <x:c r="G28" s="15" t="n">
        <x:v>630</x:v>
      </x:c>
      <x:c r="H28" s="9" t="str"/>
    </x:row>
    <x:row r="29">
      <x:c r="A29" s="9" t="str">
        <x:v>images/books/book_poison.bmp</x:v>
      </x:c>
      <x:c r="B29" s="9" t="str">
        <x:v>book_poison.bmp</x:v>
      </x:c>
      <x:c r="C29" s="9" t="str">
        <x:v>books</x:v>
      </x:c>
      <x:c r="D29" s="9" t="str">
        <x:v>used</x:v>
      </x:c>
      <x:c r="E29" s="9" t="str">
        <x:v>book</x:v>
      </x:c>
      <x:c r="F29" s="9" t="str">
        <x:v>poison</x:v>
      </x:c>
      <x:c r="G29" s="15" t="n">
        <x:v>630</x:v>
      </x:c>
      <x:c r="H29" s="9" t="str"/>
    </x:row>
  </x:sheetData>
  <x:conditionalFormatting sqref="D2:D29">
    <x:cfRule type="expression" dxfId="1" priority="1">
      <x:formula>D2="orphan"</x:formula>
    </x:cfRule>
    <x:cfRule type="expression" dxfId="2" priority="2">
      <x:formula>D2="draft"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1" hidden="0" customWidth="1"/>
    <x:col min="4" max="4" width="10" hidden="0" customWidth="1"/>
    <x:col min="5" max="5" width="15" hidden="0" customWidth="1"/>
    <x:col min="6" max="6" width="19" hidden="0" customWidth="1"/>
    <x:col min="7" max="7" width="12" hidden="0" customWidth="1"/>
    <x:col min="8" max="8" width="44" hidden="0" customWidth="1"/>
  </x:cols>
  <x:sheetData>
    <x:row r="1" ht="24" customHeight="1">
      <x:c r="A1" s="7" t="str">
        <x:v>type</x:v>
      </x:c>
      <x:c r="B1" s="7" t="str">
        <x:v>id</x:v>
      </x:c>
      <x:c r="C1" s="7" t="str">
        <x:v>enabled</x:v>
      </x:c>
      <x:c r="D1" s="7" t="str">
        <x:v>price</x:v>
      </x:c>
      <x:c r="E1" s="7" t="str">
        <x:v>effect_count</x:v>
      </x:c>
      <x:c r="F1" s="7" t="str">
        <x:v>requirement_count</x:v>
      </x:c>
      <x:c r="G1" s="7" t="str">
        <x:v>chance</x:v>
      </x:c>
      <x:c r="H1" s="7" t="str">
        <x:v>notes</x:v>
      </x:c>
    </x:row>
    <x:row r="2">
      <x:c r="A2" s="4" t="str">
        <x:f>Items!A2</x:f>
        <x:v>potion</x:v>
      </x:c>
      <x:c r="B2" s="4" t="str">
        <x:f>Items!B2</x:f>
        <x:v>health</x:v>
      </x:c>
      <x:c r="C2" s="4" t="str">
        <x:f>IF(Items!K2,"TRUE","FALSE")</x:f>
        <x:v>TRUE</x:v>
      </x:c>
      <x:c r="D2" s="4" t="n">
        <x:f>Items!G2</x:f>
        <x:v>5</x:v>
      </x:c>
      <x:c r="E2" s="4" t="n">
        <x:f>COUNTIFS(Effects!$A$2:$A$43,A2,Effects!$B$2:$B$43,B2)</x:f>
        <x:v>1</x:v>
      </x:c>
      <x:c r="F2" s="4" t="n">
        <x:f>COUNTIFS(Requirements!$A$2:$A$17,A2,Requirements!$B$2:$B$17,B2)</x:f>
        <x:v>0</x:v>
      </x:c>
      <x:c r="G2" s="16" t="str">
        <x:f>IF(Items!F2="","",Items!F2)</x:f>
      </x:c>
      <x:c r="H2" s="4" t="str">
        <x:f>IF(Items!L2="","",Items!L2)</x:f>
      </x:c>
    </x:row>
    <x:row r="3">
      <x:c r="A3" s="4" t="str">
        <x:f>Items!A3</x:f>
        <x:v>potion</x:v>
      </x:c>
      <x:c r="B3" s="4" t="str">
        <x:f>Items!B3</x:f>
        <x:v>speed</x:v>
      </x:c>
      <x:c r="C3" s="4" t="str">
        <x:f>IF(Items!K3,"TRUE","FALSE")</x:f>
        <x:v>TRUE</x:v>
      </x:c>
      <x:c r="D3" s="4" t="n">
        <x:f>Items!G3</x:f>
        <x:v>5</x:v>
      </x:c>
      <x:c r="E3" s="4" t="n">
        <x:f>COUNTIFS(Effects!$A$2:$A$43,A3,Effects!$B$2:$B$43,B3)</x:f>
        <x:v>1</x:v>
      </x:c>
      <x:c r="F3" s="4" t="n">
        <x:f>COUNTIFS(Requirements!$A$2:$A$17,A3,Requirements!$B$2:$B$17,B3)</x:f>
        <x:v>0</x:v>
      </x:c>
      <x:c r="G3" s="16" t="str">
        <x:f>IF(Items!F3="","",Items!F3)</x:f>
      </x:c>
      <x:c r="H3" s="4" t="str">
        <x:f>IF(Items!L3="","",Items!L3)</x:f>
      </x:c>
    </x:row>
    <x:row r="4">
      <x:c r="A4" s="4" t="str">
        <x:f>Items!A4</x:f>
        <x:v>potion</x:v>
      </x:c>
      <x:c r="B4" s="4" t="str">
        <x:f>Items!B4</x:f>
        <x:v>damage</x:v>
      </x:c>
      <x:c r="C4" s="4" t="str">
        <x:f>IF(Items!K4,"TRUE","FALSE")</x:f>
        <x:v>TRUE</x:v>
      </x:c>
      <x:c r="D4" s="4" t="n">
        <x:f>Items!G4</x:f>
        <x:v>5</x:v>
      </x:c>
      <x:c r="E4" s="4" t="n">
        <x:f>COUNTIFS(Effects!$A$2:$A$43,A4,Effects!$B$2:$B$43,B4)</x:f>
        <x:v>1</x:v>
      </x:c>
      <x:c r="F4" s="4" t="n">
        <x:f>COUNTIFS(Requirements!$A$2:$A$17,A4,Requirements!$B$2:$B$17,B4)</x:f>
        <x:v>0</x:v>
      </x:c>
      <x:c r="G4" s="16" t="str">
        <x:f>IF(Items!F4="","",Items!F4)</x:f>
      </x:c>
      <x:c r="H4" s="4" t="str">
        <x:f>IF(Items!L4="","",Items!L4)</x:f>
      </x:c>
    </x:row>
    <x:row r="5">
      <x:c r="A5" s="4" t="str">
        <x:f>Items!A5</x:f>
        <x:v>potion</x:v>
      </x:c>
      <x:c r="B5" s="4" t="str">
        <x:f>Items!B5</x:f>
        <x:v>body_damage</x:v>
      </x:c>
      <x:c r="C5" s="4" t="str">
        <x:f>IF(Items!K5,"TRUE","FALSE")</x:f>
        <x:v>TRUE</x:v>
      </x:c>
      <x:c r="D5" s="4" t="n">
        <x:f>Items!G5</x:f>
        <x:v>5</x:v>
      </x:c>
      <x:c r="E5" s="4" t="n">
        <x:f>COUNTIFS(Effects!$A$2:$A$43,A5,Effects!$B$2:$B$43,B5)</x:f>
        <x:v>1</x:v>
      </x:c>
      <x:c r="F5" s="4" t="n">
        <x:f>COUNTIFS(Requirements!$A$2:$A$17,A5,Requirements!$B$2:$B$17,B5)</x:f>
        <x:v>0</x:v>
      </x:c>
      <x:c r="G5" s="16" t="str">
        <x:f>IF(Items!F5="","",Items!F5)</x:f>
      </x:c>
      <x:c r="H5" s="4" t="str">
        <x:f>IF(Items!L5="","",Items!L5)</x:f>
      </x:c>
    </x:row>
    <x:row r="6">
      <x:c r="A6" s="4" t="str">
        <x:f>Items!A6</x:f>
        <x:v>potion</x:v>
      </x:c>
      <x:c r="B6" s="4" t="str">
        <x:f>Items!B6</x:f>
        <x:v>speed_atack</x:v>
      </x:c>
      <x:c r="C6" s="4" t="str">
        <x:f>IF(Items!K6,"TRUE","FALSE")</x:f>
        <x:v>TRUE</x:v>
      </x:c>
      <x:c r="D6" s="4" t="n">
        <x:f>Items!G6</x:f>
        <x:v>5</x:v>
      </x:c>
      <x:c r="E6" s="4" t="n">
        <x:f>COUNTIFS(Effects!$A$2:$A$43,A6,Effects!$B$2:$B$43,B6)</x:f>
        <x:v>1</x:v>
      </x:c>
      <x:c r="F6" s="4" t="n">
        <x:f>COUNTIFS(Requirements!$A$2:$A$17,A6,Requirements!$B$2:$B$17,B6)</x:f>
        <x:v>0</x:v>
      </x:c>
      <x:c r="G6" s="16" t="str">
        <x:f>IF(Items!F6="","",Items!F6)</x:f>
      </x:c>
      <x:c r="H6" s="4" t="str">
        <x:f>IF(Items!L6="","",Items!L6)</x:f>
        <x:v>ID historico conservado tal cual</x:v>
      </x:c>
    </x:row>
    <x:row r="7">
      <x:c r="A7" s="4" t="str">
        <x:f>Items!A7</x:f>
        <x:v>potion</x:v>
      </x:c>
      <x:c r="B7" s="4" t="str">
        <x:f>Items!B7</x:f>
        <x:v>luck</x:v>
      </x:c>
      <x:c r="C7" s="4" t="str">
        <x:f>IF(Items!K7,"TRUE","FALSE")</x:f>
        <x:v>FALSE</x:v>
      </x:c>
      <x:c r="D7" s="4" t="n">
        <x:f>Items!G7</x:f>
        <x:v>5</x:v>
      </x:c>
      <x:c r="E7" s="4" t="n">
        <x:f>COUNTIFS(Effects!$A$2:$A$43,A7,Effects!$B$2:$B$43,B7)</x:f>
        <x:v>1</x:v>
      </x:c>
      <x:c r="F7" s="4" t="n">
        <x:f>COUNTIFS(Requirements!$A$2:$A$17,A7,Requirements!$B$2:$B$17,B7)</x:f>
        <x:v>0</x:v>
      </x:c>
      <x:c r="G7" s="16" t="str">
        <x:f>IF(Items!F7="","",Items!F7)</x:f>
      </x:c>
      <x:c r="H7" s="4" t="str">
        <x:f>IF(Items!L7="","",Items!L7)</x:f>
        <x:v>Borrador: asset prefijado con _; no aparecia en la tienda</x:v>
      </x:c>
    </x:row>
    <x:row r="8">
      <x:c r="A8" s="4" t="str">
        <x:f>Items!A8</x:f>
        <x:v>potion</x:v>
      </x:c>
      <x:c r="B8" s="4" t="str">
        <x:f>Items!B8</x:f>
        <x:v>shoot_distance</x:v>
      </x:c>
      <x:c r="C8" s="4" t="str">
        <x:f>IF(Items!K8,"TRUE","FALSE")</x:f>
        <x:v>TRUE</x:v>
      </x:c>
      <x:c r="D8" s="4" t="n">
        <x:f>Items!G8</x:f>
        <x:v>5</x:v>
      </x:c>
      <x:c r="E8" s="4" t="n">
        <x:f>COUNTIFS(Effects!$A$2:$A$43,A8,Effects!$B$2:$B$43,B8)</x:f>
        <x:v>1</x:v>
      </x:c>
      <x:c r="F8" s="4" t="n">
        <x:f>COUNTIFS(Requirements!$A$2:$A$17,A8,Requirements!$B$2:$B$17,B8)</x:f>
        <x:v>0</x:v>
      </x:c>
      <x:c r="G8" s="16" t="str">
        <x:f>IF(Items!F8="","",Items!F8)</x:f>
      </x:c>
      <x:c r="H8" s="4" t="str">
        <x:f>IF(Items!L8="","",Items!L8)</x:f>
      </x:c>
    </x:row>
    <x:row r="9">
      <x:c r="A9" s="4" t="str">
        <x:f>Items!A9</x:f>
        <x:v>power</x:v>
      </x:c>
      <x:c r="B9" s="4" t="str">
        <x:f>Items!B9</x:f>
        <x:v>fire</x:v>
      </x:c>
      <x:c r="C9" s="4" t="str">
        <x:f>IF(Items!K9,"TRUE","FALSE")</x:f>
        <x:v>TRUE</x:v>
      </x:c>
      <x:c r="D9" s="4" t="n">
        <x:f>Items!G9</x:f>
        <x:v>10</x:v>
      </x:c>
      <x:c r="E9" s="4" t="n">
        <x:f>COUNTIFS(Effects!$A$2:$A$43,A9,Effects!$B$2:$B$43,B9)</x:f>
        <x:v>0</x:v>
      </x:c>
      <x:c r="F9" s="4" t="n">
        <x:f>COUNTIFS(Requirements!$A$2:$A$17,A9,Requirements!$B$2:$B$17,B9)</x:f>
        <x:v>0</x:v>
      </x:c>
      <x:c r="G9" s="16" t="n">
        <x:f>IF(Items!F9="","",Items!F9)</x:f>
        <x:v>1</x:v>
      </x:c>
      <x:c r="H9" s="4" t="str">
        <x:f>IF(Items!L9="","",Items!L9)</x:f>
      </x:c>
    </x:row>
    <x:row r="10">
      <x:c r="A10" s="4" t="str">
        <x:f>Items!A10</x:f>
        <x:v>power</x:v>
      </x:c>
      <x:c r="B10" s="4" t="str">
        <x:f>Items!B10</x:f>
        <x:v>ice</x:v>
      </x:c>
      <x:c r="C10" s="4" t="str">
        <x:f>IF(Items!K10,"TRUE","FALSE")</x:f>
        <x:v>TRUE</x:v>
      </x:c>
      <x:c r="D10" s="4" t="n">
        <x:f>Items!G10</x:f>
        <x:v>10</x:v>
      </x:c>
      <x:c r="E10" s="4" t="n">
        <x:f>COUNTIFS(Effects!$A$2:$A$43,A10,Effects!$B$2:$B$43,B10)</x:f>
        <x:v>0</x:v>
      </x:c>
      <x:c r="F10" s="4" t="n">
        <x:f>COUNTIFS(Requirements!$A$2:$A$17,A10,Requirements!$B$2:$B$17,B10)</x:f>
        <x:v>0</x:v>
      </x:c>
      <x:c r="G10" s="16" t="n">
        <x:f>IF(Items!F10="","",Items!F10)</x:f>
        <x:v>0.5</x:v>
      </x:c>
      <x:c r="H10" s="4" t="str">
        <x:f>IF(Items!L10="","",Items!L10)</x:f>
      </x:c>
    </x:row>
    <x:row r="11">
      <x:c r="A11" s="4" t="str">
        <x:f>Items!A11</x:f>
        <x:v>power</x:v>
      </x:c>
      <x:c r="B11" s="4" t="str">
        <x:f>Items!B11</x:f>
        <x:v>electric</x:v>
      </x:c>
      <x:c r="C11" s="4" t="str">
        <x:f>IF(Items!K11,"TRUE","FALSE")</x:f>
        <x:v>TRUE</x:v>
      </x:c>
      <x:c r="D11" s="4" t="n">
        <x:f>Items!G11</x:f>
        <x:v>10</x:v>
      </x:c>
      <x:c r="E11" s="4" t="n">
        <x:f>COUNTIFS(Effects!$A$2:$A$43,A11,Effects!$B$2:$B$43,B11)</x:f>
        <x:v>0</x:v>
      </x:c>
      <x:c r="F11" s="4" t="n">
        <x:f>COUNTIFS(Requirements!$A$2:$A$17,A11,Requirements!$B$2:$B$17,B11)</x:f>
        <x:v>0</x:v>
      </x:c>
      <x:c r="G11" s="16" t="n">
        <x:f>IF(Items!F11="","",Items!F11)</x:f>
        <x:v>0.5</x:v>
      </x:c>
      <x:c r="H11" s="4" t="str">
        <x:f>IF(Items!L11="","",Items!L11)</x:f>
      </x:c>
    </x:row>
    <x:row r="12">
      <x:c r="A12" s="4" t="str">
        <x:f>Items!A12</x:f>
        <x:v>power</x:v>
      </x:c>
      <x:c r="B12" s="4" t="str">
        <x:f>Items!B12</x:f>
        <x:v>poison</x:v>
      </x:c>
      <x:c r="C12" s="4" t="str">
        <x:f>IF(Items!K12,"TRUE","FALSE")</x:f>
        <x:v>TRUE</x:v>
      </x:c>
      <x:c r="D12" s="4" t="n">
        <x:f>Items!G12</x:f>
        <x:v>10</x:v>
      </x:c>
      <x:c r="E12" s="4" t="n">
        <x:f>COUNTIFS(Effects!$A$2:$A$43,A12,Effects!$B$2:$B$43,B12)</x:f>
        <x:v>0</x:v>
      </x:c>
      <x:c r="F12" s="4" t="n">
        <x:f>COUNTIFS(Requirements!$A$2:$A$17,A12,Requirements!$B$2:$B$17,B12)</x:f>
        <x:v>0</x:v>
      </x:c>
      <x:c r="G12" s="16" t="n">
        <x:f>IF(Items!F12="","",Items!F12)</x:f>
        <x:v>0.25</x:v>
      </x:c>
      <x:c r="H12" s="4" t="str">
        <x:f>IF(Items!L12="","",Items!L12)</x:f>
      </x:c>
    </x:row>
    <x:row r="13">
      <x:c r="A13" s="4" t="str">
        <x:f>Items!A13</x:f>
        <x:v>power</x:v>
      </x:c>
      <x:c r="B13" s="4" t="str">
        <x:f>Items!B13</x:f>
        <x:v>triple_shot</x:v>
      </x:c>
      <x:c r="C13" s="4" t="str">
        <x:f>IF(Items!K13,"TRUE","FALSE")</x:f>
        <x:v>TRUE</x:v>
      </x:c>
      <x:c r="D13" s="4" t="n">
        <x:f>Items!G13</x:f>
        <x:v>10</x:v>
      </x:c>
      <x:c r="E13" s="4" t="n">
        <x:f>COUNTIFS(Effects!$A$2:$A$43,A13,Effects!$B$2:$B$43,B13)</x:f>
        <x:v>2</x:v>
      </x:c>
      <x:c r="F13" s="4" t="n">
        <x:f>COUNTIFS(Requirements!$A$2:$A$17,A13,Requirements!$B$2:$B$17,B13)</x:f>
        <x:v>0</x:v>
      </x:c>
      <x:c r="G13" s="16" t="str">
        <x:f>IF(Items!F13="","",Items!F13)</x:f>
      </x:c>
      <x:c r="H13" s="4" t="str">
        <x:f>IF(Items!L13="","",Items!L13)</x:f>
      </x:c>
    </x:row>
    <x:row r="14">
      <x:c r="A14" s="4" t="str">
        <x:f>Items!A14</x:f>
        <x:v>power</x:v>
      </x:c>
      <x:c r="B14" s="4" t="str">
        <x:f>Items!B14</x:f>
        <x:v>double_shot</x:v>
      </x:c>
      <x:c r="C14" s="4" t="str">
        <x:f>IF(Items!K14,"TRUE","FALSE")</x:f>
        <x:v>TRUE</x:v>
      </x:c>
      <x:c r="D14" s="4" t="n">
        <x:f>Items!G14</x:f>
        <x:v>10</x:v>
      </x:c>
      <x:c r="E14" s="4" t="n">
        <x:f>COUNTIFS(Effects!$A$2:$A$43,A14,Effects!$B$2:$B$43,B14)</x:f>
        <x:v>2</x:v>
      </x:c>
      <x:c r="F14" s="4" t="n">
        <x:f>COUNTIFS(Requirements!$A$2:$A$17,A14,Requirements!$B$2:$B$17,B14)</x:f>
        <x:v>0</x:v>
      </x:c>
      <x:c r="G14" s="16" t="str">
        <x:f>IF(Items!F14="","",Items!F14)</x:f>
      </x:c>
      <x:c r="H14" s="4" t="str">
        <x:f>IF(Items!L14="","",Items!L14)</x:f>
      </x:c>
    </x:row>
    <x:row r="15">
      <x:c r="A15" s="4" t="str">
        <x:f>Items!A15</x:f>
        <x:v>power</x:v>
      </x:c>
      <x:c r="B15" s="4" t="str">
        <x:f>Items!B15</x:f>
        <x:v>big_bullets</x:v>
      </x:c>
      <x:c r="C15" s="4" t="str">
        <x:f>IF(Items!K15,"TRUE","FALSE")</x:f>
        <x:v>TRUE</x:v>
      </x:c>
      <x:c r="D15" s="4" t="n">
        <x:f>Items!G15</x:f>
        <x:v>10</x:v>
      </x:c>
      <x:c r="E15" s="4" t="n">
        <x:f>COUNTIFS(Effects!$A$2:$A$43,A15,Effects!$B$2:$B$43,B15)</x:f>
        <x:v>1</x:v>
      </x:c>
      <x:c r="F15" s="4" t="n">
        <x:f>COUNTIFS(Requirements!$A$2:$A$17,A15,Requirements!$B$2:$B$17,B15)</x:f>
        <x:v>0</x:v>
      </x:c>
      <x:c r="G15" s="16" t="str">
        <x:f>IF(Items!F15="","",Items!F15)</x:f>
      </x:c>
      <x:c r="H15" s="4" t="str">
        <x:f>IF(Items!L15="","",Items!L15)</x:f>
      </x:c>
    </x:row>
    <x:row r="16">
      <x:c r="A16" s="4" t="str">
        <x:f>Items!A16</x:f>
        <x:v>power</x:v>
      </x:c>
      <x:c r="B16" s="4" t="str">
        <x:f>Items!B16</x:f>
        <x:v>rear_shot</x:v>
      </x:c>
      <x:c r="C16" s="4" t="str">
        <x:f>IF(Items!K16,"TRUE","FALSE")</x:f>
        <x:v>TRUE</x:v>
      </x:c>
      <x:c r="D16" s="4" t="n">
        <x:f>Items!G16</x:f>
        <x:v>10</x:v>
      </x:c>
      <x:c r="E16" s="4" t="n">
        <x:f>COUNTIFS(Effects!$A$2:$A$43,A16,Effects!$B$2:$B$43,B16)</x:f>
        <x:v>1</x:v>
      </x:c>
      <x:c r="F16" s="4" t="n">
        <x:f>COUNTIFS(Requirements!$A$2:$A$17,A16,Requirements!$B$2:$B$17,B16)</x:f>
        <x:v>0</x:v>
      </x:c>
      <x:c r="G16" s="16" t="str">
        <x:f>IF(Items!F16="","",Items!F16)</x:f>
      </x:c>
      <x:c r="H16" s="4" t="str">
        <x:f>IF(Items!L16="","",Items!L16)</x:f>
      </x:c>
    </x:row>
    <x:row r="17">
      <x:c r="A17" s="4" t="str">
        <x:f>Items!A17</x:f>
        <x:v>book</x:v>
      </x:c>
      <x:c r="B17" s="4" t="str">
        <x:f>Items!B17</x:f>
        <x:v>fire</x:v>
      </x:c>
      <x:c r="C17" s="4" t="str">
        <x:f>IF(Items!K17,"TRUE","FALSE")</x:f>
        <x:v>TRUE</x:v>
      </x:c>
      <x:c r="D17" s="4" t="n">
        <x:f>Items!G17</x:f>
        <x:v>5</x:v>
      </x:c>
      <x:c r="E17" s="4" t="n">
        <x:f>COUNTIFS(Effects!$A$2:$A$43,A17,Effects!$B$2:$B$43,B17)</x:f>
        <x:v>3</x:v>
      </x:c>
      <x:c r="F17" s="4" t="n">
        <x:f>COUNTIFS(Requirements!$A$2:$A$17,A17,Requirements!$B$2:$B$17,B17)</x:f>
        <x:v>1</x:v>
      </x:c>
      <x:c r="G17" s="16" t="str">
        <x:f>IF(Items!F17="","",Items!F17)</x:f>
      </x:c>
      <x:c r="H17" s="4" t="str">
        <x:f>IF(Items!L17="","",Items!L17)</x:f>
      </x:c>
    </x:row>
    <x:row r="18">
      <x:c r="A18" s="4" t="str">
        <x:f>Items!A18</x:f>
        <x:v>book</x:v>
      </x:c>
      <x:c r="B18" s="4" t="str">
        <x:f>Items!B18</x:f>
        <x:v>ice</x:v>
      </x:c>
      <x:c r="C18" s="4" t="str">
        <x:f>IF(Items!K18,"TRUE","FALSE")</x:f>
        <x:v>TRUE</x:v>
      </x:c>
      <x:c r="D18" s="4" t="n">
        <x:f>Items!G18</x:f>
        <x:v>5</x:v>
      </x:c>
      <x:c r="E18" s="4" t="n">
        <x:f>COUNTIFS(Effects!$A$2:$A$43,A18,Effects!$B$2:$B$43,B18)</x:f>
        <x:v>4</x:v>
      </x:c>
      <x:c r="F18" s="4" t="n">
        <x:f>COUNTIFS(Requirements!$A$2:$A$17,A18,Requirements!$B$2:$B$17,B18)</x:f>
        <x:v>1</x:v>
      </x:c>
      <x:c r="G18" s="16" t="str">
        <x:f>IF(Items!F18="","",Items!F18)</x:f>
      </x:c>
      <x:c r="H18" s="4" t="str">
        <x:f>IF(Items!L18="","",Items!L18)</x:f>
      </x:c>
    </x:row>
    <x:row r="19">
      <x:c r="A19" s="4" t="str">
        <x:f>Items!A19</x:f>
        <x:v>book</x:v>
      </x:c>
      <x:c r="B19" s="4" t="str">
        <x:f>Items!B19</x:f>
        <x:v>electric</x:v>
      </x:c>
      <x:c r="C19" s="4" t="str">
        <x:f>IF(Items!K19,"TRUE","FALSE")</x:f>
        <x:v>TRUE</x:v>
      </x:c>
      <x:c r="D19" s="4" t="n">
        <x:f>Items!G19</x:f>
        <x:v>5</x:v>
      </x:c>
      <x:c r="E19" s="4" t="n">
        <x:f>COUNTIFS(Effects!$A$2:$A$43,A19,Effects!$B$2:$B$43,B19)</x:f>
        <x:v>3</x:v>
      </x:c>
      <x:c r="F19" s="4" t="n">
        <x:f>COUNTIFS(Requirements!$A$2:$A$17,A19,Requirements!$B$2:$B$17,B19)</x:f>
        <x:v>1</x:v>
      </x:c>
      <x:c r="G19" s="16" t="str">
        <x:f>IF(Items!F19="","",Items!F19)</x:f>
      </x:c>
      <x:c r="H19" s="4" t="str">
        <x:f>IF(Items!L19="","",Items!L19)</x:f>
      </x:c>
    </x:row>
    <x:row r="20">
      <x:c r="A20" s="4" t="str">
        <x:f>Items!A20</x:f>
        <x:v>book</x:v>
      </x:c>
      <x:c r="B20" s="4" t="str">
        <x:f>Items!B20</x:f>
        <x:v>poison</x:v>
      </x:c>
      <x:c r="C20" s="4" t="str">
        <x:f>IF(Items!K20,"TRUE","FALSE")</x:f>
        <x:v>TRUE</x:v>
      </x:c>
      <x:c r="D20" s="4" t="n">
        <x:f>Items!G20</x:f>
        <x:v>5</x:v>
      </x:c>
      <x:c r="E20" s="4" t="n">
        <x:f>COUNTIFS(Effects!$A$2:$A$43,A20,Effects!$B$2:$B$43,B20)</x:f>
        <x:v>3</x:v>
      </x:c>
      <x:c r="F20" s="4" t="n">
        <x:f>COUNTIFS(Requirements!$A$2:$A$17,A20,Requirements!$B$2:$B$17,B20)</x:f>
        <x:v>1</x:v>
      </x:c>
      <x:c r="G20" s="16" t="str">
        <x:f>IF(Items!F20="","",Items!F20)</x:f>
      </x:c>
      <x:c r="H20" s="4" t="str">
        <x:f>IF(Items!L20="","",Items!L20)</x:f>
      </x:c>
    </x:row>
    <x:row r="21">
      <x:c r="A21" s="4" t="str">
        <x:f>Items!A21</x:f>
        <x:v>book</x:v>
      </x:c>
      <x:c r="B21" s="4" t="str">
        <x:f>Items!B21</x:f>
        <x:v>fire_ice</x:v>
      </x:c>
      <x:c r="C21" s="4" t="str">
        <x:f>IF(Items!K21,"TRUE","FALSE")</x:f>
        <x:v>TRUE</x:v>
      </x:c>
      <x:c r="D21" s="4" t="n">
        <x:f>Items!G21</x:f>
        <x:v>5</x:v>
      </x:c>
      <x:c r="E21" s="4" t="n">
        <x:f>COUNTIFS(Effects!$A$2:$A$43,A21,Effects!$B$2:$B$43,B21)</x:f>
        <x:v>2</x:v>
      </x:c>
      <x:c r="F21" s="4" t="n">
        <x:f>COUNTIFS(Requirements!$A$2:$A$17,A21,Requirements!$B$2:$B$17,B21)</x:f>
        <x:v>2</x:v>
      </x:c>
      <x:c r="G21" s="16" t="str">
        <x:f>IF(Items!F21="","",Items!F21)</x:f>
      </x:c>
      <x:c r="H21" s="4" t="str">
        <x:f>IF(Items!L21="","",Items!L21)</x:f>
      </x:c>
    </x:row>
    <x:row r="22">
      <x:c r="A22" s="4" t="str">
        <x:f>Items!A22</x:f>
        <x:v>book</x:v>
      </x:c>
      <x:c r="B22" s="4" t="str">
        <x:f>Items!B22</x:f>
        <x:v>fire_electric</x:v>
      </x:c>
      <x:c r="C22" s="4" t="str">
        <x:f>IF(Items!K22,"TRUE","FALSE")</x:f>
        <x:v>TRUE</x:v>
      </x:c>
      <x:c r="D22" s="4" t="n">
        <x:f>Items!G22</x:f>
        <x:v>5</x:v>
      </x:c>
      <x:c r="E22" s="4" t="n">
        <x:f>COUNTIFS(Effects!$A$2:$A$43,A22,Effects!$B$2:$B$43,B22)</x:f>
        <x:v>3</x:v>
      </x:c>
      <x:c r="F22" s="4" t="n">
        <x:f>COUNTIFS(Requirements!$A$2:$A$17,A22,Requirements!$B$2:$B$17,B22)</x:f>
        <x:v>2</x:v>
      </x:c>
      <x:c r="G22" s="16" t="str">
        <x:f>IF(Items!F22="","",Items!F22)</x:f>
      </x:c>
      <x:c r="H22" s="4" t="str">
        <x:f>IF(Items!L22="","",Items!L22)</x:f>
      </x:c>
    </x:row>
    <x:row r="23">
      <x:c r="A23" s="4" t="str">
        <x:f>Items!A23</x:f>
        <x:v>book</x:v>
      </x:c>
      <x:c r="B23" s="4" t="str">
        <x:f>Items!B23</x:f>
        <x:v>ice_electric</x:v>
      </x:c>
      <x:c r="C23" s="4" t="str">
        <x:f>IF(Items!K23,"TRUE","FALSE")</x:f>
        <x:v>TRUE</x:v>
      </x:c>
      <x:c r="D23" s="4" t="n">
        <x:f>Items!G23</x:f>
        <x:v>5</x:v>
      </x:c>
      <x:c r="E23" s="4" t="n">
        <x:f>COUNTIFS(Effects!$A$2:$A$43,A23,Effects!$B$2:$B$43,B23)</x:f>
        <x:v>5</x:v>
      </x:c>
      <x:c r="F23" s="4" t="n">
        <x:f>COUNTIFS(Requirements!$A$2:$A$17,A23,Requirements!$B$2:$B$17,B23)</x:f>
        <x:v>2</x:v>
      </x:c>
      <x:c r="G23" s="16" t="str">
        <x:f>IF(Items!F23="","",Items!F23)</x:f>
      </x:c>
      <x:c r="H23" s="4" t="str">
        <x:f>IF(Items!L23="","",Items!L23)</x:f>
      </x:c>
    </x:row>
    <x:row r="24">
      <x:c r="A24" s="4" t="str">
        <x:f>Items!A24</x:f>
        <x:v>book</x:v>
      </x:c>
      <x:c r="B24" s="4" t="str">
        <x:f>Items!B24</x:f>
        <x:v>fire_poison</x:v>
      </x:c>
      <x:c r="C24" s="4" t="str">
        <x:f>IF(Items!K24,"TRUE","FALSE")</x:f>
        <x:v>TRUE</x:v>
      </x:c>
      <x:c r="D24" s="4" t="n">
        <x:f>Items!G24</x:f>
        <x:v>5</x:v>
      </x:c>
      <x:c r="E24" s="4" t="n">
        <x:f>COUNTIFS(Effects!$A$2:$A$43,A24,Effects!$B$2:$B$43,B24)</x:f>
        <x:v>3</x:v>
      </x:c>
      <x:c r="F24" s="4" t="n">
        <x:f>COUNTIFS(Requirements!$A$2:$A$17,A24,Requirements!$B$2:$B$17,B24)</x:f>
        <x:v>2</x:v>
      </x:c>
      <x:c r="G24" s="16" t="str">
        <x:f>IF(Items!F24="","",Items!F24)</x:f>
      </x:c>
      <x:c r="H24" s="4" t="str">
        <x:f>IF(Items!L24="","",Items!L24)</x:f>
      </x:c>
    </x:row>
    <x:row r="25">
      <x:c r="A25" s="4" t="str">
        <x:f>Items!A25</x:f>
        <x:v>book</x:v>
      </x:c>
      <x:c r="B25" s="4" t="str">
        <x:f>Items!B25</x:f>
        <x:v>ice_poison</x:v>
      </x:c>
      <x:c r="C25" s="4" t="str">
        <x:f>IF(Items!K25,"TRUE","FALSE")</x:f>
        <x:v>TRUE</x:v>
      </x:c>
      <x:c r="D25" s="4" t="n">
        <x:f>Items!G25</x:f>
        <x:v>5</x:v>
      </x:c>
      <x:c r="E25" s="4" t="n">
        <x:f>COUNTIFS(Effects!$A$2:$A$43,A25,Effects!$B$2:$B$43,B25)</x:f>
        <x:v>3</x:v>
      </x:c>
      <x:c r="F25" s="4" t="n">
        <x:f>COUNTIFS(Requirements!$A$2:$A$17,A25,Requirements!$B$2:$B$17,B25)</x:f>
        <x:v>2</x:v>
      </x:c>
      <x:c r="G25" s="16" t="str">
        <x:f>IF(Items!F25="","",Items!F25)</x:f>
      </x:c>
      <x:c r="H25" s="4" t="str">
        <x:f>IF(Items!L25="","",Items!L25)</x:f>
      </x:c>
    </x:row>
    <x:row r="26">
      <x:c r="A26" s="4" t="str">
        <x:f>Items!A26</x:f>
        <x:v>book</x:v>
      </x:c>
      <x:c r="B26" s="4" t="str">
        <x:f>Items!B26</x:f>
        <x:v>electric_poison</x:v>
      </x:c>
      <x:c r="C26" s="4" t="str">
        <x:f>IF(Items!K26,"TRUE","FALSE")</x:f>
        <x:v>FALSE</x:v>
      </x:c>
      <x:c r="D26" s="4" t="n">
        <x:f>Items!G26</x:f>
        <x:v>5</x:v>
      </x:c>
      <x:c r="E26" s="4" t="n">
        <x:f>COUNTIFS(Effects!$A$2:$A$43,A26,Effects!$B$2:$B$43,B26)</x:f>
        <x:v>0</x:v>
      </x:c>
      <x:c r="F26" s="4" t="n">
        <x:f>COUNTIFS(Requirements!$A$2:$A$17,A26,Requirements!$B$2:$B$17,B26)</x:f>
        <x:v>2</x:v>
      </x:c>
      <x:c r="G26" s="16" t="str">
        <x:f>IF(Items!F26="","",Items!F26)</x:f>
      </x:c>
      <x:c r="H26" s="4" t="str">
        <x:f>IF(Items!L26="","",Items!L26)</x:f>
        <x:v>Borrador encontrado: traducciones y asset, pero sin efecto configurado</x:v>
      </x:c>
    </x:row>
  </x:sheetData>
  <x:conditionalFormatting sqref="C2:C26">
    <x:cfRule type="expression" dxfId="3" priority="1">
      <x:formula>C2="FALSE"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0" t="str">
        <x:v>GRIMORIUM · CONTENT MASTER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4">
      <x:c r="A4" s="26" t="str">
        <x:v>KPI</x:v>
      </x:c>
      <x:c r="B4" s="27" t="str">
        <x:v>Value</x:v>
      </x:c>
      <x:c r="D4" t="str">
        <x:v>Content type</x:v>
      </x:c>
      <x:c r="E4" t="str">
        <x:v>Active count</x:v>
      </x:c>
    </x:row>
    <x:row r="5">
      <x:c r="A5" s="28" t="str">
        <x:v>Active items</x:v>
      </x:c>
      <x:c r="B5" s="29" t="n">
        <x:f>IF(Items!K2=TRUE,1,0)+IF(Items!K3=TRUE,1,0)+IF(Items!K4=TRUE,1,0)+IF(Items!K5=TRUE,1,0)+IF(Items!K6=TRUE,1,0)+IF(Items!K7=TRUE,1,0)+IF(Items!K8=TRUE,1,0)+IF(Items!K9=TRUE,1,0)+IF(Items!K10=TRUE,1,0)+IF(Items!K11=TRUE,1,0)+IF(Items!K12=TRUE,1,0)+IF(Items!K13=TRUE,1,0)+IF(Items!K14=TRUE,1,0)+IF(Items!K15=TRUE,1,0)+IF(Items!K16=TRUE,1,0)+IF(Items!K17=TRUE,1,0)+IF(Items!K18=TRUE,1,0)+IF(Items!K19=TRUE,1,0)+IF(Items!K20=TRUE,1,0)+IF(Items!K21=TRUE,1,0)+IF(Items!K22=TRUE,1,0)+IF(Items!K23=TRUE,1,0)+IF(Items!K24=TRUE,1,0)+IF(Items!K25=TRUE,1,0)+IF(Items!K26=TRUE,1,0)</x:f>
        <x:v>23</x:v>
      </x:c>
      <x:c r="D5" t="str">
        <x:v>Potions</x:v>
      </x:c>
      <x:c r="E5" t="n">
        <x:f>B7</x:f>
        <x:v>6</x:v>
      </x:c>
    </x:row>
    <x:row r="6">
      <x:c r="A6" s="28" t="str">
        <x:v>Draft items</x:v>
      </x:c>
      <x:c r="B6" s="29" t="n">
        <x:f>IF(Items!K2=FALSE,1,0)+IF(Items!K3=FALSE,1,0)+IF(Items!K4=FALSE,1,0)+IF(Items!K5=FALSE,1,0)+IF(Items!K6=FALSE,1,0)+IF(Items!K7=FALSE,1,0)+IF(Items!K8=FALSE,1,0)+IF(Items!K9=FALSE,1,0)+IF(Items!K10=FALSE,1,0)+IF(Items!K11=FALSE,1,0)+IF(Items!K12=FALSE,1,0)+IF(Items!K13=FALSE,1,0)+IF(Items!K14=FALSE,1,0)+IF(Items!K15=FALSE,1,0)+IF(Items!K16=FALSE,1,0)+IF(Items!K17=FALSE,1,0)+IF(Items!K18=FALSE,1,0)+IF(Items!K19=FALSE,1,0)+IF(Items!K20=FALSE,1,0)+IF(Items!K21=FALSE,1,0)+IF(Items!K22=FALSE,1,0)+IF(Items!K23=FALSE,1,0)+IF(Items!K24=FALSE,1,0)+IF(Items!K25=FALSE,1,0)+IF(Items!K26=FALSE,1,0)</x:f>
        <x:v>2</x:v>
      </x:c>
      <x:c r="D6" t="str">
        <x:v>Powers</x:v>
      </x:c>
      <x:c r="E6" t="n">
        <x:f>B8</x:f>
        <x:v>8</x:v>
      </x:c>
    </x:row>
    <x:row r="7">
      <x:c r="A7" s="28" t="str">
        <x:v>Potions</x:v>
      </x:c>
      <x:c r="B7" s="29" t="n">
        <x:f>IF(AND(Items!A2="potion",Items!K2=TRUE),1,0)+IF(AND(Items!A3="potion",Items!K3=TRUE),1,0)+IF(AND(Items!A4="potion",Items!K4=TRUE),1,0)+IF(AND(Items!A5="potion",Items!K5=TRUE),1,0)+IF(AND(Items!A6="potion",Items!K6=TRUE),1,0)+IF(AND(Items!A7="potion",Items!K7=TRUE),1,0)+IF(AND(Items!A8="potion",Items!K8=TRUE),1,0)+IF(AND(Items!A9="potion",Items!K9=TRUE),1,0)+IF(AND(Items!A10="potion",Items!K10=TRUE),1,0)+IF(AND(Items!A11="potion",Items!K11=TRUE),1,0)+IF(AND(Items!A12="potion",Items!K12=TRUE),1,0)+IF(AND(Items!A13="potion",Items!K13=TRUE),1,0)+IF(AND(Items!A14="potion",Items!K14=TRUE),1,0)+IF(AND(Items!A15="potion",Items!K15=TRUE),1,0)+IF(AND(Items!A16="potion",Items!K16=TRUE),1,0)+IF(AND(Items!A17="potion",Items!K17=TRUE),1,0)+IF(AND(Items!A18="potion",Items!K18=TRUE),1,0)+IF(AND(Items!A19="potion",Items!K19=TRUE),1,0)+IF(AND(Items!A20="potion",Items!K20=TRUE),1,0)+IF(AND(Items!A21="potion",Items!K21=TRUE),1,0)+IF(AND(Items!A22="potion",Items!K22=TRUE),1,0)+IF(AND(Items!A23="potion",Items!K23=TRUE),1,0)+IF(AND(Items!A24="potion",Items!K24=TRUE),1,0)+IF(AND(Items!A25="potion",Items!K25=TRUE),1,0)+IF(AND(Items!A26="potion",Items!K26=TRUE),1,0)</x:f>
        <x:v>6</x:v>
      </x:c>
      <x:c r="D7" t="str">
        <x:v>Books</x:v>
      </x:c>
      <x:c r="E7" t="n">
        <x:f>B9</x:f>
        <x:v>9</x:v>
      </x:c>
    </x:row>
    <x:row r="8">
      <x:c r="A8" s="28" t="str">
        <x:v>Powers</x:v>
      </x:c>
      <x:c r="B8" s="29" t="n">
        <x:f>IF(AND(Items!A2="power",Items!K2=TRUE),1,0)+IF(AND(Items!A3="power",Items!K3=TRUE),1,0)+IF(AND(Items!A4="power",Items!K4=TRUE),1,0)+IF(AND(Items!A5="power",Items!K5=TRUE),1,0)+IF(AND(Items!A6="power",Items!K6=TRUE),1,0)+IF(AND(Items!A7="power",Items!K7=TRUE),1,0)+IF(AND(Items!A8="power",Items!K8=TRUE),1,0)+IF(AND(Items!A9="power",Items!K9=TRUE),1,0)+IF(AND(Items!A10="power",Items!K10=TRUE),1,0)+IF(AND(Items!A11="power",Items!K11=TRUE),1,0)+IF(AND(Items!A12="power",Items!K12=TRUE),1,0)+IF(AND(Items!A13="power",Items!K13=TRUE),1,0)+IF(AND(Items!A14="power",Items!K14=TRUE),1,0)+IF(AND(Items!A15="power",Items!K15=TRUE),1,0)+IF(AND(Items!A16="power",Items!K16=TRUE),1,0)+IF(AND(Items!A17="power",Items!K17=TRUE),1,0)+IF(AND(Items!A18="power",Items!K18=TRUE),1,0)+IF(AND(Items!A19="power",Items!K19=TRUE),1,0)+IF(AND(Items!A20="power",Items!K20=TRUE),1,0)+IF(AND(Items!A21="power",Items!K21=TRUE),1,0)+IF(AND(Items!A22="power",Items!K22=TRUE),1,0)+IF(AND(Items!A23="power",Items!K23=TRUE),1,0)+IF(AND(Items!A24="power",Items!K24=TRUE),1,0)+IF(AND(Items!A25="power",Items!K25=TRUE),1,0)+IF(AND(Items!A26="power",Items!K26=TRUE),1,0)</x:f>
        <x:v>8</x:v>
      </x:c>
    </x:row>
    <x:row r="9">
      <x:c r="A9" s="28" t="str">
        <x:v>Books</x:v>
      </x:c>
      <x:c r="B9" s="29" t="n">
        <x:f>IF(AND(Items!A2="book",Items!K2=TRUE),1,0)+IF(AND(Items!A3="book",Items!K3=TRUE),1,0)+IF(AND(Items!A4="book",Items!K4=TRUE),1,0)+IF(AND(Items!A5="book",Items!K5=TRUE),1,0)+IF(AND(Items!A6="book",Items!K6=TRUE),1,0)+IF(AND(Items!A7="book",Items!K7=TRUE),1,0)+IF(AND(Items!A8="book",Items!K8=TRUE),1,0)+IF(AND(Items!A9="book",Items!K9=TRUE),1,0)+IF(AND(Items!A10="book",Items!K10=TRUE),1,0)+IF(AND(Items!A11="book",Items!K11=TRUE),1,0)+IF(AND(Items!A12="book",Items!K12=TRUE),1,0)+IF(AND(Items!A13="book",Items!K13=TRUE),1,0)+IF(AND(Items!A14="book",Items!K14=TRUE),1,0)+IF(AND(Items!A15="book",Items!K15=TRUE),1,0)+IF(AND(Items!A16="book",Items!K16=TRUE),1,0)+IF(AND(Items!A17="book",Items!K17=TRUE),1,0)+IF(AND(Items!A18="book",Items!K18=TRUE),1,0)+IF(AND(Items!A19="book",Items!K19=TRUE),1,0)+IF(AND(Items!A20="book",Items!K20=TRUE),1,0)+IF(AND(Items!A21="book",Items!K21=TRUE),1,0)+IF(AND(Items!A22="book",Items!K22=TRUE),1,0)+IF(AND(Items!A23="book",Items!K23=TRUE),1,0)+IF(AND(Items!A24="book",Items!K24=TRUE),1,0)+IF(AND(Items!A25="book",Items!K25=TRUE),1,0)+IF(AND(Items!A26="book",Items!K26=TRUE),1,0)</x:f>
        <x:v>9</x:v>
      </x:c>
    </x:row>
    <x:row r="10">
      <x:c r="A10" s="28" t="str">
        <x:v>Effects</x:v>
      </x:c>
      <x:c r="B10" s="29" t="n">
        <x:f>COUNTA(Effects!$A$2:$A$43)</x:f>
        <x:v>42</x:v>
      </x:c>
    </x:row>
    <x:row r="11">
      <x:c r="A11" s="30" t="str">
        <x:v>Requirements</x:v>
      </x:c>
      <x:c r="B11" s="31" t="n">
        <x:f>COUNTA(Requirements!$A$2:$A$17)</x:f>
        <x:v>16</x:v>
      </x:c>
    </x:row>
    <x:row r="13" ht="24" customHeight="1">
      <x:c r="A13" s="25" t="str">
        <x:v>WORKFLOW
1. Edit Items, Effects, Requirements and texts.
2. Run: python tools/export_content.py
3. Fix every validation error before launching the game.
Disabled rows stay documented but are not loaded by the game.</x:v>
      </x:c>
      <x:c r="B13" s="25"/>
      <x:c r="C13" s="25"/>
      <x:c r="D13" s="25"/>
      <x:c r="E13" s="25"/>
      <x:c r="F13" s="25"/>
      <x:c r="G13" s="25"/>
      <x:c r="H13" s="25"/>
    </x:row>
    <x:row r="14" ht="24" customHeight="1">
      <x:c r="A14" s="25"/>
      <x:c r="B14" s="25"/>
      <x:c r="C14" s="25"/>
      <x:c r="D14" s="25"/>
      <x:c r="E14" s="25"/>
      <x:c r="F14" s="25"/>
      <x:c r="G14" s="25"/>
      <x:c r="H14" s="25"/>
    </x:row>
    <x:row r="15" ht="24" customHeight="1">
      <x:c r="A15" s="25"/>
      <x:c r="B15" s="25"/>
      <x:c r="C15" s="25"/>
      <x:c r="D15" s="25"/>
      <x:c r="E15" s="25"/>
      <x:c r="F15" s="25"/>
      <x:c r="G15" s="25"/>
      <x:c r="H15" s="25"/>
    </x:row>
    <x:row r="16" ht="24" customHeight="1">
      <x:c r="A16" s="25"/>
      <x:c r="B16" s="25"/>
      <x:c r="C16" s="25"/>
      <x:c r="D16" s="25"/>
      <x:c r="E16" s="25"/>
      <x:c r="F16" s="25"/>
      <x:c r="G16" s="25"/>
      <x:c r="H16" s="25"/>
    </x:row>
  </x:sheetData>
  <x:mergeCells>
    <x:mergeCell ref="A1:H2"/>
    <x:mergeCell ref="A13:H16"/>
  </x:mergeCells>
  <x:pageMargins left="0.7" right="0.7" top="0.75" bottom="0.75" header="0.3" footer="0.3"/>
  <x:drawing xmlns:r="http://schemas.openxmlformats.org/officeDocument/2006/relationships" r:id="R299c344f5a31407a"/>
</x:worksheet>
</file>